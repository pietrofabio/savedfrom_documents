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DieseArbeitsmappe" defaultThemeVersion="124226"/>
  <mc:AlternateContent xmlns:mc="http://schemas.openxmlformats.org/markup-compatibility/2006">
    <mc:Choice Requires="x15">
      <x15ac:absPath xmlns:x15ac="http://schemas.microsoft.com/office/spreadsheetml/2010/11/ac" url="Z:\Segmentstatistiken_FORECAST\Channelmanagement Estimates\Estimates\Berlin\2021\"/>
    </mc:Choice>
  </mc:AlternateContent>
  <xr:revisionPtr revIDLastSave="0" documentId="13_ncr:1_{AE433640-4C12-4D66-94F1-9F277005F290}" xr6:coauthVersionLast="47" xr6:coauthVersionMax="47" xr10:uidLastSave="{00000000-0000-0000-0000-000000000000}"/>
  <workbookProtection workbookAlgorithmName="SHA-512" workbookHashValue="ddjWEfKkZKjTVO6xWabMuqSITVZHuZuOf6VtoFBO2ERjX1okCsTHPXwVdn/T9J5DXRv5sK1HuehGrj7i3DYvBw==" workbookSaltValue="smfoBWvVD1JtdGv+vTSy8Q==" workbookSpinCount="100000" lockStructure="1"/>
  <bookViews>
    <workbookView xWindow="-108" yWindow="-108" windowWidth="23256" windowHeight="12720" tabRatio="723" xr2:uid="{00000000-000D-0000-FFFF-FFFF00000000}"/>
  </bookViews>
  <sheets>
    <sheet name="Region Berlin" sheetId="23" r:id="rId1"/>
    <sheet name="H+HotelBerlinMitte" sheetId="31" r:id="rId2"/>
    <sheet name="HYPERIONHotelBerlin" sheetId="36" r:id="rId3"/>
    <sheet name="H2HotelBerlinAlexand" sheetId="35" r:id="rId4"/>
    <sheet name="H4HotelBerlinAlexand" sheetId="26" r:id="rId5"/>
    <sheet name="mapping" sheetId="34" state="veryHidden" r:id="rId6"/>
  </sheets>
  <functionGroups builtInGroupCount="19"/>
  <definedNames>
    <definedName name="_xlnm._FilterDatabase" localSheetId="5" hidden="1">mapping!$A$1:$F$55</definedName>
    <definedName name="hotel_information">mapping!$A$2:$F$61</definedName>
    <definedName name="hotel_name_list">mapping!$A$2:$A$61</definedName>
    <definedName name="region_breakeven">mapping!$H$2:$I$10</definedName>
    <definedName name="region_list">mapping!$H$2:$H$10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K209" i="36" l="1"/>
  <c r="G209" i="36"/>
  <c r="E209" i="36"/>
  <c r="D209" i="36"/>
  <c r="C209" i="36"/>
  <c r="K206" i="36"/>
  <c r="G206" i="36"/>
  <c r="E206" i="36"/>
  <c r="D206" i="36"/>
  <c r="C206" i="36"/>
  <c r="K205" i="36"/>
  <c r="G205" i="36"/>
  <c r="E205" i="36"/>
  <c r="D205" i="36"/>
  <c r="C205" i="36"/>
  <c r="K203" i="36"/>
  <c r="G203" i="36"/>
  <c r="E203" i="36"/>
  <c r="D203" i="36"/>
  <c r="C203" i="36"/>
  <c r="K202" i="36"/>
  <c r="G202" i="36"/>
  <c r="E202" i="36"/>
  <c r="D202" i="36"/>
  <c r="C202" i="36"/>
  <c r="K201" i="36"/>
  <c r="G201" i="36"/>
  <c r="E201" i="36"/>
  <c r="D201" i="36"/>
  <c r="C201" i="36"/>
  <c r="K198" i="36"/>
  <c r="G198" i="36"/>
  <c r="E198" i="36"/>
  <c r="D198" i="36"/>
  <c r="C198" i="36"/>
  <c r="K197" i="36"/>
  <c r="G197" i="36"/>
  <c r="E197" i="36"/>
  <c r="D197" i="36"/>
  <c r="C197" i="36"/>
  <c r="K195" i="36"/>
  <c r="G195" i="36"/>
  <c r="E195" i="36"/>
  <c r="D195" i="36"/>
  <c r="C195" i="36"/>
  <c r="L194" i="36"/>
  <c r="H194" i="36"/>
  <c r="F194" i="36"/>
  <c r="K192" i="36"/>
  <c r="G192" i="36"/>
  <c r="E192" i="36"/>
  <c r="D192" i="36"/>
  <c r="C192" i="36"/>
  <c r="L191" i="36"/>
  <c r="H191" i="36"/>
  <c r="F191" i="36"/>
  <c r="L190" i="36"/>
  <c r="H190" i="36"/>
  <c r="F190" i="36"/>
  <c r="L188" i="36"/>
  <c r="J188" i="36"/>
  <c r="I188" i="36"/>
  <c r="H188" i="36"/>
  <c r="F188" i="36"/>
  <c r="L187" i="36"/>
  <c r="J187" i="36"/>
  <c r="I187" i="36"/>
  <c r="H187" i="36"/>
  <c r="F187" i="36"/>
  <c r="L186" i="36"/>
  <c r="J186" i="36"/>
  <c r="I186" i="36"/>
  <c r="H186" i="36"/>
  <c r="F186" i="36"/>
  <c r="K185" i="36"/>
  <c r="K199" i="36" s="1"/>
  <c r="G185" i="36"/>
  <c r="G199" i="36" s="1"/>
  <c r="E185" i="36"/>
  <c r="E199" i="36" s="1"/>
  <c r="D185" i="36"/>
  <c r="D199" i="36" s="1"/>
  <c r="C185" i="36"/>
  <c r="C199" i="36" s="1"/>
  <c r="K183" i="36"/>
  <c r="G183" i="36"/>
  <c r="E183" i="36"/>
  <c r="D183" i="36"/>
  <c r="C183" i="36"/>
  <c r="K182" i="36"/>
  <c r="G182" i="36"/>
  <c r="E182" i="36"/>
  <c r="D182" i="36"/>
  <c r="C182" i="36"/>
  <c r="K180" i="36"/>
  <c r="G180" i="36"/>
  <c r="E180" i="36"/>
  <c r="D180" i="36"/>
  <c r="C180" i="36"/>
  <c r="L179" i="36"/>
  <c r="H179" i="36"/>
  <c r="F179" i="36"/>
  <c r="K177" i="36"/>
  <c r="G177" i="36"/>
  <c r="E177" i="36"/>
  <c r="D177" i="36"/>
  <c r="C177" i="36"/>
  <c r="L176" i="36"/>
  <c r="H176" i="36"/>
  <c r="F176" i="36"/>
  <c r="L175" i="36"/>
  <c r="H175" i="36"/>
  <c r="F175" i="36"/>
  <c r="L173" i="36"/>
  <c r="J173" i="36"/>
  <c r="I173" i="36"/>
  <c r="H173" i="36"/>
  <c r="F173" i="36"/>
  <c r="L172" i="36"/>
  <c r="J172" i="36"/>
  <c r="I172" i="36"/>
  <c r="H172" i="36"/>
  <c r="F172" i="36"/>
  <c r="L171" i="36"/>
  <c r="J171" i="36"/>
  <c r="I171" i="36"/>
  <c r="H171" i="36"/>
  <c r="F171" i="36"/>
  <c r="K170" i="36"/>
  <c r="K184" i="36" s="1"/>
  <c r="G170" i="36"/>
  <c r="G184" i="36" s="1"/>
  <c r="E170" i="36"/>
  <c r="D170" i="36"/>
  <c r="D184" i="36" s="1"/>
  <c r="C170" i="36"/>
  <c r="C184" i="36" s="1"/>
  <c r="K168" i="36"/>
  <c r="G168" i="36"/>
  <c r="E168" i="36"/>
  <c r="D168" i="36"/>
  <c r="C168" i="36"/>
  <c r="K167" i="36"/>
  <c r="G167" i="36"/>
  <c r="E167" i="36"/>
  <c r="D167" i="36"/>
  <c r="C167" i="36"/>
  <c r="K165" i="36"/>
  <c r="G165" i="36"/>
  <c r="E165" i="36"/>
  <c r="D165" i="36"/>
  <c r="C165" i="36"/>
  <c r="L164" i="36"/>
  <c r="H164" i="36"/>
  <c r="F164" i="36"/>
  <c r="K162" i="36"/>
  <c r="G162" i="36"/>
  <c r="E162" i="36"/>
  <c r="D162" i="36"/>
  <c r="C162" i="36"/>
  <c r="L161" i="36"/>
  <c r="H161" i="36"/>
  <c r="F161" i="36"/>
  <c r="L160" i="36"/>
  <c r="H160" i="36"/>
  <c r="F160" i="36"/>
  <c r="L158" i="36"/>
  <c r="J158" i="36"/>
  <c r="I158" i="36"/>
  <c r="H158" i="36"/>
  <c r="F158" i="36"/>
  <c r="L157" i="36"/>
  <c r="J157" i="36"/>
  <c r="I157" i="36"/>
  <c r="H157" i="36"/>
  <c r="F157" i="36"/>
  <c r="L156" i="36"/>
  <c r="J156" i="36"/>
  <c r="I156" i="36"/>
  <c r="H156" i="36"/>
  <c r="F156" i="36"/>
  <c r="K155" i="36"/>
  <c r="K169" i="36" s="1"/>
  <c r="G155" i="36"/>
  <c r="E155" i="36"/>
  <c r="D155" i="36"/>
  <c r="D169" i="36" s="1"/>
  <c r="C155" i="36"/>
  <c r="K153" i="36"/>
  <c r="G153" i="36"/>
  <c r="E153" i="36"/>
  <c r="D153" i="36"/>
  <c r="C153" i="36"/>
  <c r="K152" i="36"/>
  <c r="G152" i="36"/>
  <c r="E152" i="36"/>
  <c r="D152" i="36"/>
  <c r="C152" i="36"/>
  <c r="K150" i="36"/>
  <c r="G150" i="36"/>
  <c r="E150" i="36"/>
  <c r="D150" i="36"/>
  <c r="C150" i="36"/>
  <c r="L149" i="36"/>
  <c r="H149" i="36"/>
  <c r="F149" i="36"/>
  <c r="K147" i="36"/>
  <c r="G147" i="36"/>
  <c r="E147" i="36"/>
  <c r="D147" i="36"/>
  <c r="C147" i="36"/>
  <c r="L146" i="36"/>
  <c r="H146" i="36"/>
  <c r="F146" i="36"/>
  <c r="L145" i="36"/>
  <c r="H145" i="36"/>
  <c r="F145" i="36"/>
  <c r="L143" i="36"/>
  <c r="J143" i="36"/>
  <c r="I143" i="36"/>
  <c r="H143" i="36"/>
  <c r="F143" i="36"/>
  <c r="L142" i="36"/>
  <c r="J142" i="36"/>
  <c r="I142" i="36"/>
  <c r="H142" i="36"/>
  <c r="F142" i="36"/>
  <c r="L141" i="36"/>
  <c r="J141" i="36"/>
  <c r="I141" i="36"/>
  <c r="H141" i="36"/>
  <c r="F141" i="36"/>
  <c r="K140" i="36"/>
  <c r="K154" i="36" s="1"/>
  <c r="G140" i="36"/>
  <c r="G154" i="36" s="1"/>
  <c r="E140" i="36"/>
  <c r="E154" i="36" s="1"/>
  <c r="D140" i="36"/>
  <c r="D154" i="36" s="1"/>
  <c r="C140" i="36"/>
  <c r="C154" i="36" s="1"/>
  <c r="K138" i="36"/>
  <c r="G138" i="36"/>
  <c r="E138" i="36"/>
  <c r="D138" i="36"/>
  <c r="C138" i="36"/>
  <c r="K137" i="36"/>
  <c r="G137" i="36"/>
  <c r="E137" i="36"/>
  <c r="D137" i="36"/>
  <c r="C137" i="36"/>
  <c r="K135" i="36"/>
  <c r="G135" i="36"/>
  <c r="E135" i="36"/>
  <c r="D135" i="36"/>
  <c r="C135" i="36"/>
  <c r="L134" i="36"/>
  <c r="H134" i="36"/>
  <c r="F134" i="36"/>
  <c r="K132" i="36"/>
  <c r="G132" i="36"/>
  <c r="E132" i="36"/>
  <c r="D132" i="36"/>
  <c r="C132" i="36"/>
  <c r="L131" i="36"/>
  <c r="H131" i="36"/>
  <c r="F131" i="36"/>
  <c r="L130" i="36"/>
  <c r="H130" i="36"/>
  <c r="F130" i="36"/>
  <c r="L128" i="36"/>
  <c r="J128" i="36"/>
  <c r="I128" i="36"/>
  <c r="H128" i="36"/>
  <c r="F128" i="36"/>
  <c r="L127" i="36"/>
  <c r="J127" i="36"/>
  <c r="I127" i="36"/>
  <c r="H127" i="36"/>
  <c r="F127" i="36"/>
  <c r="L126" i="36"/>
  <c r="J126" i="36"/>
  <c r="I126" i="36"/>
  <c r="H126" i="36"/>
  <c r="F126" i="36"/>
  <c r="K125" i="36"/>
  <c r="K139" i="36" s="1"/>
  <c r="G125" i="36"/>
  <c r="G139" i="36" s="1"/>
  <c r="E125" i="36"/>
  <c r="E139" i="36" s="1"/>
  <c r="D125" i="36"/>
  <c r="D139" i="36" s="1"/>
  <c r="C125" i="36"/>
  <c r="C139" i="36" s="1"/>
  <c r="K123" i="36"/>
  <c r="G123" i="36"/>
  <c r="E123" i="36"/>
  <c r="D123" i="36"/>
  <c r="C123" i="36"/>
  <c r="K122" i="36"/>
  <c r="G122" i="36"/>
  <c r="E122" i="36"/>
  <c r="D122" i="36"/>
  <c r="C122" i="36"/>
  <c r="K120" i="36"/>
  <c r="G120" i="36"/>
  <c r="E120" i="36"/>
  <c r="D120" i="36"/>
  <c r="C120" i="36"/>
  <c r="L119" i="36"/>
  <c r="H119" i="36"/>
  <c r="F119" i="36"/>
  <c r="K117" i="36"/>
  <c r="G117" i="36"/>
  <c r="E117" i="36"/>
  <c r="D117" i="36"/>
  <c r="C117" i="36"/>
  <c r="L116" i="36"/>
  <c r="H116" i="36"/>
  <c r="F116" i="36"/>
  <c r="L115" i="36"/>
  <c r="H115" i="36"/>
  <c r="F115" i="36"/>
  <c r="L113" i="36"/>
  <c r="J113" i="36"/>
  <c r="I113" i="36"/>
  <c r="H113" i="36"/>
  <c r="F113" i="36"/>
  <c r="L112" i="36"/>
  <c r="J112" i="36"/>
  <c r="I112" i="36"/>
  <c r="H112" i="36"/>
  <c r="F112" i="36"/>
  <c r="L111" i="36"/>
  <c r="J111" i="36"/>
  <c r="I111" i="36"/>
  <c r="H111" i="36"/>
  <c r="F111" i="36"/>
  <c r="K110" i="36"/>
  <c r="K124" i="36" s="1"/>
  <c r="G110" i="36"/>
  <c r="G124" i="36" s="1"/>
  <c r="E110" i="36"/>
  <c r="D110" i="36"/>
  <c r="D124" i="36" s="1"/>
  <c r="C110" i="36"/>
  <c r="C124" i="36" s="1"/>
  <c r="K108" i="36"/>
  <c r="G108" i="36"/>
  <c r="E108" i="36"/>
  <c r="D108" i="36"/>
  <c r="C108" i="36"/>
  <c r="K107" i="36"/>
  <c r="G107" i="36"/>
  <c r="E107" i="36"/>
  <c r="D107" i="36"/>
  <c r="C107" i="36"/>
  <c r="K105" i="36"/>
  <c r="G105" i="36"/>
  <c r="E105" i="36"/>
  <c r="D105" i="36"/>
  <c r="C105" i="36"/>
  <c r="L104" i="36"/>
  <c r="H104" i="36"/>
  <c r="F104" i="36"/>
  <c r="K102" i="36"/>
  <c r="G102" i="36"/>
  <c r="E102" i="36"/>
  <c r="D102" i="36"/>
  <c r="C102" i="36"/>
  <c r="L101" i="36"/>
  <c r="H101" i="36"/>
  <c r="F101" i="36"/>
  <c r="L100" i="36"/>
  <c r="H100" i="36"/>
  <c r="F100" i="36"/>
  <c r="L98" i="36"/>
  <c r="J98" i="36"/>
  <c r="I98" i="36"/>
  <c r="H98" i="36"/>
  <c r="F98" i="36"/>
  <c r="L97" i="36"/>
  <c r="J97" i="36"/>
  <c r="I97" i="36"/>
  <c r="H97" i="36"/>
  <c r="F97" i="36"/>
  <c r="L96" i="36"/>
  <c r="J96" i="36"/>
  <c r="I96" i="36"/>
  <c r="H96" i="36"/>
  <c r="F96" i="36"/>
  <c r="K95" i="36"/>
  <c r="K109" i="36" s="1"/>
  <c r="G95" i="36"/>
  <c r="G109" i="36" s="1"/>
  <c r="E95" i="36"/>
  <c r="D95" i="36"/>
  <c r="D109" i="36" s="1"/>
  <c r="C95" i="36"/>
  <c r="K93" i="36"/>
  <c r="G93" i="36"/>
  <c r="E93" i="36"/>
  <c r="D93" i="36"/>
  <c r="C93" i="36"/>
  <c r="K92" i="36"/>
  <c r="G92" i="36"/>
  <c r="E92" i="36"/>
  <c r="D92" i="36"/>
  <c r="C92" i="36"/>
  <c r="K90" i="36"/>
  <c r="G90" i="36"/>
  <c r="E90" i="36"/>
  <c r="D90" i="36"/>
  <c r="C90" i="36"/>
  <c r="L89" i="36"/>
  <c r="H89" i="36"/>
  <c r="F89" i="36"/>
  <c r="K87" i="36"/>
  <c r="G87" i="36"/>
  <c r="E87" i="36"/>
  <c r="D87" i="36"/>
  <c r="C87" i="36"/>
  <c r="L86" i="36"/>
  <c r="H86" i="36"/>
  <c r="F86" i="36"/>
  <c r="L85" i="36"/>
  <c r="H85" i="36"/>
  <c r="F85" i="36"/>
  <c r="L83" i="36"/>
  <c r="J83" i="36"/>
  <c r="I83" i="36"/>
  <c r="H83" i="36"/>
  <c r="F83" i="36"/>
  <c r="L82" i="36"/>
  <c r="J82" i="36"/>
  <c r="I82" i="36"/>
  <c r="H82" i="36"/>
  <c r="F82" i="36"/>
  <c r="L81" i="36"/>
  <c r="J81" i="36"/>
  <c r="I81" i="36"/>
  <c r="H81" i="36"/>
  <c r="F81" i="36"/>
  <c r="K80" i="36"/>
  <c r="K94" i="36" s="1"/>
  <c r="G80" i="36"/>
  <c r="G94" i="36" s="1"/>
  <c r="E80" i="36"/>
  <c r="E94" i="36" s="1"/>
  <c r="D80" i="36"/>
  <c r="D94" i="36" s="1"/>
  <c r="C80" i="36"/>
  <c r="C94" i="36" s="1"/>
  <c r="K78" i="36"/>
  <c r="G78" i="36"/>
  <c r="E78" i="36"/>
  <c r="D78" i="36"/>
  <c r="C78" i="36"/>
  <c r="K77" i="36"/>
  <c r="G77" i="36"/>
  <c r="E77" i="36"/>
  <c r="D77" i="36"/>
  <c r="C77" i="36"/>
  <c r="K75" i="36"/>
  <c r="G75" i="36"/>
  <c r="E75" i="36"/>
  <c r="D75" i="36"/>
  <c r="C75" i="36"/>
  <c r="L74" i="36"/>
  <c r="H74" i="36"/>
  <c r="F74" i="36"/>
  <c r="K72" i="36"/>
  <c r="G72" i="36"/>
  <c r="E72" i="36"/>
  <c r="D72" i="36"/>
  <c r="C72" i="36"/>
  <c r="L71" i="36"/>
  <c r="H71" i="36"/>
  <c r="F71" i="36"/>
  <c r="L70" i="36"/>
  <c r="H70" i="36"/>
  <c r="F70" i="36"/>
  <c r="L68" i="36"/>
  <c r="J68" i="36"/>
  <c r="I68" i="36"/>
  <c r="H68" i="36"/>
  <c r="F68" i="36"/>
  <c r="L67" i="36"/>
  <c r="J67" i="36"/>
  <c r="I67" i="36"/>
  <c r="H67" i="36"/>
  <c r="F67" i="36"/>
  <c r="L66" i="36"/>
  <c r="J66" i="36"/>
  <c r="I66" i="36"/>
  <c r="H66" i="36"/>
  <c r="F66" i="36"/>
  <c r="K65" i="36"/>
  <c r="K79" i="36" s="1"/>
  <c r="G65" i="36"/>
  <c r="G79" i="36" s="1"/>
  <c r="E65" i="36"/>
  <c r="E79" i="36" s="1"/>
  <c r="D65" i="36"/>
  <c r="D79" i="36" s="1"/>
  <c r="C65" i="36"/>
  <c r="C79" i="36" s="1"/>
  <c r="K63" i="36"/>
  <c r="G63" i="36"/>
  <c r="E63" i="36"/>
  <c r="D63" i="36"/>
  <c r="C63" i="36"/>
  <c r="K62" i="36"/>
  <c r="G62" i="36"/>
  <c r="E62" i="36"/>
  <c r="D62" i="36"/>
  <c r="C62" i="36"/>
  <c r="K60" i="36"/>
  <c r="G60" i="36"/>
  <c r="E60" i="36"/>
  <c r="D60" i="36"/>
  <c r="C60" i="36"/>
  <c r="L59" i="36"/>
  <c r="H59" i="36"/>
  <c r="F59" i="36"/>
  <c r="K57" i="36"/>
  <c r="G57" i="36"/>
  <c r="E57" i="36"/>
  <c r="D57" i="36"/>
  <c r="C57" i="36"/>
  <c r="L56" i="36"/>
  <c r="H56" i="36"/>
  <c r="F56" i="36"/>
  <c r="L55" i="36"/>
  <c r="H55" i="36"/>
  <c r="F55" i="36"/>
  <c r="L53" i="36"/>
  <c r="J53" i="36"/>
  <c r="I53" i="36"/>
  <c r="H53" i="36"/>
  <c r="F53" i="36"/>
  <c r="L52" i="36"/>
  <c r="J52" i="36"/>
  <c r="I52" i="36"/>
  <c r="H52" i="36"/>
  <c r="F52" i="36"/>
  <c r="L51" i="36"/>
  <c r="J51" i="36"/>
  <c r="I51" i="36"/>
  <c r="H51" i="36"/>
  <c r="F51" i="36"/>
  <c r="K50" i="36"/>
  <c r="K64" i="36" s="1"/>
  <c r="G50" i="36"/>
  <c r="G64" i="36" s="1"/>
  <c r="E50" i="36"/>
  <c r="E64" i="36" s="1"/>
  <c r="D50" i="36"/>
  <c r="D64" i="36" s="1"/>
  <c r="C50" i="36"/>
  <c r="C64" i="36" s="1"/>
  <c r="K48" i="36"/>
  <c r="G48" i="36"/>
  <c r="E48" i="36"/>
  <c r="D48" i="36"/>
  <c r="C48" i="36"/>
  <c r="K47" i="36"/>
  <c r="G47" i="36"/>
  <c r="E47" i="36"/>
  <c r="D47" i="36"/>
  <c r="C47" i="36"/>
  <c r="K45" i="36"/>
  <c r="G45" i="36"/>
  <c r="E45" i="36"/>
  <c r="D45" i="36"/>
  <c r="C45" i="36"/>
  <c r="L44" i="36"/>
  <c r="H44" i="36"/>
  <c r="F44" i="36"/>
  <c r="K42" i="36"/>
  <c r="G42" i="36"/>
  <c r="E42" i="36"/>
  <c r="D42" i="36"/>
  <c r="C42" i="36"/>
  <c r="L41" i="36"/>
  <c r="H41" i="36"/>
  <c r="F41" i="36"/>
  <c r="L40" i="36"/>
  <c r="H40" i="36"/>
  <c r="F40" i="36"/>
  <c r="L38" i="36"/>
  <c r="J38" i="36"/>
  <c r="I38" i="36"/>
  <c r="H38" i="36"/>
  <c r="F38" i="36"/>
  <c r="L37" i="36"/>
  <c r="J37" i="36"/>
  <c r="I37" i="36"/>
  <c r="H37" i="36"/>
  <c r="F37" i="36"/>
  <c r="L36" i="36"/>
  <c r="J36" i="36"/>
  <c r="I36" i="36"/>
  <c r="H36" i="36"/>
  <c r="F36" i="36"/>
  <c r="K35" i="36"/>
  <c r="K49" i="36" s="1"/>
  <c r="G35" i="36"/>
  <c r="G49" i="36" s="1"/>
  <c r="E35" i="36"/>
  <c r="D35" i="36"/>
  <c r="D49" i="36" s="1"/>
  <c r="C35" i="36"/>
  <c r="C49" i="36" s="1"/>
  <c r="K33" i="36"/>
  <c r="G33" i="36"/>
  <c r="E33" i="36"/>
  <c r="D33" i="36"/>
  <c r="C33" i="36"/>
  <c r="K32" i="36"/>
  <c r="G32" i="36"/>
  <c r="E32" i="36"/>
  <c r="D32" i="36"/>
  <c r="C32" i="36"/>
  <c r="K30" i="36"/>
  <c r="G30" i="36"/>
  <c r="E30" i="36"/>
  <c r="D30" i="36"/>
  <c r="C30" i="36"/>
  <c r="L29" i="36"/>
  <c r="H29" i="36"/>
  <c r="F29" i="36"/>
  <c r="K27" i="36"/>
  <c r="G27" i="36"/>
  <c r="E27" i="36"/>
  <c r="D27" i="36"/>
  <c r="C27" i="36"/>
  <c r="L26" i="36"/>
  <c r="H26" i="36"/>
  <c r="F26" i="36"/>
  <c r="L25" i="36"/>
  <c r="H25" i="36"/>
  <c r="F25" i="36"/>
  <c r="L23" i="36"/>
  <c r="J23" i="36"/>
  <c r="I23" i="36"/>
  <c r="H23" i="36"/>
  <c r="F23" i="36"/>
  <c r="L22" i="36"/>
  <c r="J22" i="36"/>
  <c r="I22" i="36"/>
  <c r="H22" i="36"/>
  <c r="F22" i="36"/>
  <c r="L21" i="36"/>
  <c r="J21" i="36"/>
  <c r="I21" i="36"/>
  <c r="H21" i="36"/>
  <c r="F21" i="36"/>
  <c r="K20" i="36"/>
  <c r="K34" i="36" s="1"/>
  <c r="G20" i="36"/>
  <c r="G34" i="36" s="1"/>
  <c r="E20" i="36"/>
  <c r="D20" i="36"/>
  <c r="D34" i="36" s="1"/>
  <c r="C20" i="36"/>
  <c r="C34" i="36" s="1"/>
  <c r="B5" i="36"/>
  <c r="M4" i="36"/>
  <c r="M2" i="36"/>
  <c r="M1" i="36"/>
  <c r="K209" i="35"/>
  <c r="G209" i="35"/>
  <c r="E209" i="35"/>
  <c r="D209" i="35"/>
  <c r="C209" i="35"/>
  <c r="K206" i="35"/>
  <c r="G206" i="35"/>
  <c r="E206" i="35"/>
  <c r="D206" i="35"/>
  <c r="C206" i="35"/>
  <c r="K205" i="35"/>
  <c r="G205" i="35"/>
  <c r="E205" i="35"/>
  <c r="D205" i="35"/>
  <c r="C205" i="35"/>
  <c r="K203" i="35"/>
  <c r="G203" i="35"/>
  <c r="E203" i="35"/>
  <c r="D203" i="35"/>
  <c r="C203" i="35"/>
  <c r="K202" i="35"/>
  <c r="G202" i="35"/>
  <c r="E202" i="35"/>
  <c r="D202" i="35"/>
  <c r="C202" i="35"/>
  <c r="K201" i="35"/>
  <c r="G201" i="35"/>
  <c r="E201" i="35"/>
  <c r="D201" i="35"/>
  <c r="C201" i="35"/>
  <c r="K198" i="35"/>
  <c r="G198" i="35"/>
  <c r="E198" i="35"/>
  <c r="D198" i="35"/>
  <c r="C198" i="35"/>
  <c r="K197" i="35"/>
  <c r="G197" i="35"/>
  <c r="E197" i="35"/>
  <c r="D197" i="35"/>
  <c r="C197" i="35"/>
  <c r="K195" i="35"/>
  <c r="G195" i="35"/>
  <c r="E195" i="35"/>
  <c r="D195" i="35"/>
  <c r="C195" i="35"/>
  <c r="L194" i="35"/>
  <c r="H194" i="35"/>
  <c r="F194" i="35"/>
  <c r="K192" i="35"/>
  <c r="G192" i="35"/>
  <c r="E192" i="35"/>
  <c r="D192" i="35"/>
  <c r="C192" i="35"/>
  <c r="L191" i="35"/>
  <c r="H191" i="35"/>
  <c r="F191" i="35"/>
  <c r="L190" i="35"/>
  <c r="H190" i="35"/>
  <c r="F190" i="35"/>
  <c r="L188" i="35"/>
  <c r="J188" i="35"/>
  <c r="I188" i="35"/>
  <c r="H188" i="35"/>
  <c r="F188" i="35"/>
  <c r="L187" i="35"/>
  <c r="J187" i="35"/>
  <c r="I187" i="35"/>
  <c r="H187" i="35"/>
  <c r="F187" i="35"/>
  <c r="L186" i="35"/>
  <c r="J186" i="35"/>
  <c r="I186" i="35"/>
  <c r="H186" i="35"/>
  <c r="F186" i="35"/>
  <c r="K185" i="35"/>
  <c r="K199" i="35" s="1"/>
  <c r="G185" i="35"/>
  <c r="G199" i="35" s="1"/>
  <c r="E185" i="35"/>
  <c r="E199" i="35" s="1"/>
  <c r="D185" i="35"/>
  <c r="D199" i="35" s="1"/>
  <c r="C185" i="35"/>
  <c r="C199" i="35" s="1"/>
  <c r="K183" i="35"/>
  <c r="G183" i="35"/>
  <c r="E183" i="35"/>
  <c r="D183" i="35"/>
  <c r="C183" i="35"/>
  <c r="K182" i="35"/>
  <c r="G182" i="35"/>
  <c r="E182" i="35"/>
  <c r="D182" i="35"/>
  <c r="C182" i="35"/>
  <c r="K180" i="35"/>
  <c r="G180" i="35"/>
  <c r="E180" i="35"/>
  <c r="D180" i="35"/>
  <c r="C180" i="35"/>
  <c r="L179" i="35"/>
  <c r="H179" i="35"/>
  <c r="F179" i="35"/>
  <c r="K177" i="35"/>
  <c r="G177" i="35"/>
  <c r="E177" i="35"/>
  <c r="D177" i="35"/>
  <c r="C177" i="35"/>
  <c r="L176" i="35"/>
  <c r="H176" i="35"/>
  <c r="F176" i="35"/>
  <c r="L175" i="35"/>
  <c r="H175" i="35"/>
  <c r="F175" i="35"/>
  <c r="L173" i="35"/>
  <c r="J173" i="35"/>
  <c r="I173" i="35"/>
  <c r="H173" i="35"/>
  <c r="F173" i="35"/>
  <c r="L172" i="35"/>
  <c r="J172" i="35"/>
  <c r="I172" i="35"/>
  <c r="H172" i="35"/>
  <c r="F172" i="35"/>
  <c r="L171" i="35"/>
  <c r="J171" i="35"/>
  <c r="I171" i="35"/>
  <c r="H171" i="35"/>
  <c r="F171" i="35"/>
  <c r="K170" i="35"/>
  <c r="K184" i="35" s="1"/>
  <c r="G170" i="35"/>
  <c r="G184" i="35" s="1"/>
  <c r="E170" i="35"/>
  <c r="D170" i="35"/>
  <c r="D184" i="35" s="1"/>
  <c r="C170" i="35"/>
  <c r="C184" i="35" s="1"/>
  <c r="K168" i="35"/>
  <c r="G168" i="35"/>
  <c r="E168" i="35"/>
  <c r="D168" i="35"/>
  <c r="C168" i="35"/>
  <c r="K167" i="35"/>
  <c r="G167" i="35"/>
  <c r="E167" i="35"/>
  <c r="D167" i="35"/>
  <c r="C167" i="35"/>
  <c r="K165" i="35"/>
  <c r="G165" i="35"/>
  <c r="E165" i="35"/>
  <c r="D165" i="35"/>
  <c r="C165" i="35"/>
  <c r="L164" i="35"/>
  <c r="H164" i="35"/>
  <c r="F164" i="35"/>
  <c r="K162" i="35"/>
  <c r="G162" i="35"/>
  <c r="E162" i="35"/>
  <c r="D162" i="35"/>
  <c r="C162" i="35"/>
  <c r="L161" i="35"/>
  <c r="H161" i="35"/>
  <c r="F161" i="35"/>
  <c r="L160" i="35"/>
  <c r="H160" i="35"/>
  <c r="F160" i="35"/>
  <c r="L158" i="35"/>
  <c r="J158" i="35"/>
  <c r="I158" i="35"/>
  <c r="H158" i="35"/>
  <c r="F158" i="35"/>
  <c r="L157" i="35"/>
  <c r="J157" i="35"/>
  <c r="I157" i="35"/>
  <c r="H157" i="35"/>
  <c r="F157" i="35"/>
  <c r="L156" i="35"/>
  <c r="J156" i="35"/>
  <c r="I156" i="35"/>
  <c r="H156" i="35"/>
  <c r="F156" i="35"/>
  <c r="K155" i="35"/>
  <c r="K169" i="35" s="1"/>
  <c r="G155" i="35"/>
  <c r="G169" i="35" s="1"/>
  <c r="E155" i="35"/>
  <c r="D155" i="35"/>
  <c r="D169" i="35" s="1"/>
  <c r="C155" i="35"/>
  <c r="C169" i="35" s="1"/>
  <c r="K153" i="35"/>
  <c r="G153" i="35"/>
  <c r="E153" i="35"/>
  <c r="D153" i="35"/>
  <c r="C153" i="35"/>
  <c r="K152" i="35"/>
  <c r="G152" i="35"/>
  <c r="E152" i="35"/>
  <c r="D152" i="35"/>
  <c r="C152" i="35"/>
  <c r="K150" i="35"/>
  <c r="G150" i="35"/>
  <c r="E150" i="35"/>
  <c r="D150" i="35"/>
  <c r="C150" i="35"/>
  <c r="L149" i="35"/>
  <c r="H149" i="35"/>
  <c r="F149" i="35"/>
  <c r="K147" i="35"/>
  <c r="G147" i="35"/>
  <c r="E147" i="35"/>
  <c r="D147" i="35"/>
  <c r="C147" i="35"/>
  <c r="L146" i="35"/>
  <c r="H146" i="35"/>
  <c r="F146" i="35"/>
  <c r="L145" i="35"/>
  <c r="H145" i="35"/>
  <c r="F145" i="35"/>
  <c r="L143" i="35"/>
  <c r="J143" i="35"/>
  <c r="I143" i="35"/>
  <c r="H143" i="35"/>
  <c r="F143" i="35"/>
  <c r="L142" i="35"/>
  <c r="J142" i="35"/>
  <c r="I142" i="35"/>
  <c r="H142" i="35"/>
  <c r="F142" i="35"/>
  <c r="L141" i="35"/>
  <c r="J141" i="35"/>
  <c r="I141" i="35"/>
  <c r="H141" i="35"/>
  <c r="F141" i="35"/>
  <c r="K140" i="35"/>
  <c r="K154" i="35" s="1"/>
  <c r="G140" i="35"/>
  <c r="G154" i="35" s="1"/>
  <c r="E140" i="35"/>
  <c r="E154" i="35" s="1"/>
  <c r="D140" i="35"/>
  <c r="D154" i="35" s="1"/>
  <c r="C140" i="35"/>
  <c r="C154" i="35" s="1"/>
  <c r="K138" i="35"/>
  <c r="G138" i="35"/>
  <c r="E138" i="35"/>
  <c r="D138" i="35"/>
  <c r="C138" i="35"/>
  <c r="K137" i="35"/>
  <c r="G137" i="35"/>
  <c r="E137" i="35"/>
  <c r="D137" i="35"/>
  <c r="C137" i="35"/>
  <c r="K135" i="35"/>
  <c r="G135" i="35"/>
  <c r="E135" i="35"/>
  <c r="D135" i="35"/>
  <c r="C135" i="35"/>
  <c r="L134" i="35"/>
  <c r="H134" i="35"/>
  <c r="F134" i="35"/>
  <c r="K132" i="35"/>
  <c r="G132" i="35"/>
  <c r="E132" i="35"/>
  <c r="D132" i="35"/>
  <c r="C132" i="35"/>
  <c r="L131" i="35"/>
  <c r="H131" i="35"/>
  <c r="F131" i="35"/>
  <c r="L130" i="35"/>
  <c r="H130" i="35"/>
  <c r="F130" i="35"/>
  <c r="L128" i="35"/>
  <c r="J128" i="35"/>
  <c r="I128" i="35"/>
  <c r="H128" i="35"/>
  <c r="F128" i="35"/>
  <c r="L127" i="35"/>
  <c r="J127" i="35"/>
  <c r="I127" i="35"/>
  <c r="H127" i="35"/>
  <c r="F127" i="35"/>
  <c r="L126" i="35"/>
  <c r="J126" i="35"/>
  <c r="I126" i="35"/>
  <c r="H126" i="35"/>
  <c r="F126" i="35"/>
  <c r="K125" i="35"/>
  <c r="K139" i="35" s="1"/>
  <c r="G125" i="35"/>
  <c r="E125" i="35"/>
  <c r="E139" i="35" s="1"/>
  <c r="D125" i="35"/>
  <c r="D139" i="35" s="1"/>
  <c r="C125" i="35"/>
  <c r="C139" i="35" s="1"/>
  <c r="K123" i="35"/>
  <c r="G123" i="35"/>
  <c r="E123" i="35"/>
  <c r="D123" i="35"/>
  <c r="C123" i="35"/>
  <c r="K122" i="35"/>
  <c r="G122" i="35"/>
  <c r="E122" i="35"/>
  <c r="D122" i="35"/>
  <c r="C122" i="35"/>
  <c r="K120" i="35"/>
  <c r="G120" i="35"/>
  <c r="E120" i="35"/>
  <c r="D120" i="35"/>
  <c r="C120" i="35"/>
  <c r="L119" i="35"/>
  <c r="H119" i="35"/>
  <c r="F119" i="35"/>
  <c r="K117" i="35"/>
  <c r="G117" i="35"/>
  <c r="E117" i="35"/>
  <c r="D117" i="35"/>
  <c r="C117" i="35"/>
  <c r="L116" i="35"/>
  <c r="H116" i="35"/>
  <c r="F116" i="35"/>
  <c r="L115" i="35"/>
  <c r="H115" i="35"/>
  <c r="F115" i="35"/>
  <c r="L113" i="35"/>
  <c r="J113" i="35"/>
  <c r="I113" i="35"/>
  <c r="H113" i="35"/>
  <c r="F113" i="35"/>
  <c r="L112" i="35"/>
  <c r="J112" i="35"/>
  <c r="I112" i="35"/>
  <c r="H112" i="35"/>
  <c r="F112" i="35"/>
  <c r="L111" i="35"/>
  <c r="J111" i="35"/>
  <c r="I111" i="35"/>
  <c r="H111" i="35"/>
  <c r="F111" i="35"/>
  <c r="K110" i="35"/>
  <c r="K124" i="35" s="1"/>
  <c r="G110" i="35"/>
  <c r="G124" i="35" s="1"/>
  <c r="E110" i="35"/>
  <c r="D110" i="35"/>
  <c r="D124" i="35" s="1"/>
  <c r="C110" i="35"/>
  <c r="K108" i="35"/>
  <c r="G108" i="35"/>
  <c r="E108" i="35"/>
  <c r="D108" i="35"/>
  <c r="C108" i="35"/>
  <c r="K107" i="35"/>
  <c r="G107" i="35"/>
  <c r="E107" i="35"/>
  <c r="D107" i="35"/>
  <c r="C107" i="35"/>
  <c r="K105" i="35"/>
  <c r="G105" i="35"/>
  <c r="E105" i="35"/>
  <c r="D105" i="35"/>
  <c r="C105" i="35"/>
  <c r="L104" i="35"/>
  <c r="H104" i="35"/>
  <c r="F104" i="35"/>
  <c r="K102" i="35"/>
  <c r="G102" i="35"/>
  <c r="E102" i="35"/>
  <c r="D102" i="35"/>
  <c r="C102" i="35"/>
  <c r="L101" i="35"/>
  <c r="H101" i="35"/>
  <c r="F101" i="35"/>
  <c r="L100" i="35"/>
  <c r="H100" i="35"/>
  <c r="F100" i="35"/>
  <c r="L98" i="35"/>
  <c r="J98" i="35"/>
  <c r="I98" i="35"/>
  <c r="H98" i="35"/>
  <c r="F98" i="35"/>
  <c r="L97" i="35"/>
  <c r="J97" i="35"/>
  <c r="I97" i="35"/>
  <c r="H97" i="35"/>
  <c r="F97" i="35"/>
  <c r="L96" i="35"/>
  <c r="J96" i="35"/>
  <c r="I96" i="35"/>
  <c r="H96" i="35"/>
  <c r="F96" i="35"/>
  <c r="K95" i="35"/>
  <c r="K109" i="35" s="1"/>
  <c r="G95" i="35"/>
  <c r="G109" i="35" s="1"/>
  <c r="E95" i="35"/>
  <c r="E109" i="35" s="1"/>
  <c r="D95" i="35"/>
  <c r="D109" i="35" s="1"/>
  <c r="C95" i="35"/>
  <c r="C109" i="35" s="1"/>
  <c r="K93" i="35"/>
  <c r="G93" i="35"/>
  <c r="E93" i="35"/>
  <c r="D93" i="35"/>
  <c r="C93" i="35"/>
  <c r="K92" i="35"/>
  <c r="G92" i="35"/>
  <c r="E92" i="35"/>
  <c r="D92" i="35"/>
  <c r="C92" i="35"/>
  <c r="K90" i="35"/>
  <c r="G90" i="35"/>
  <c r="E90" i="35"/>
  <c r="D90" i="35"/>
  <c r="C90" i="35"/>
  <c r="L89" i="35"/>
  <c r="H89" i="35"/>
  <c r="F89" i="35"/>
  <c r="K87" i="35"/>
  <c r="G87" i="35"/>
  <c r="E87" i="35"/>
  <c r="D87" i="35"/>
  <c r="C87" i="35"/>
  <c r="L86" i="35"/>
  <c r="H86" i="35"/>
  <c r="F86" i="35"/>
  <c r="L85" i="35"/>
  <c r="H85" i="35"/>
  <c r="F85" i="35"/>
  <c r="L83" i="35"/>
  <c r="J83" i="35"/>
  <c r="I83" i="35"/>
  <c r="H83" i="35"/>
  <c r="F83" i="35"/>
  <c r="L82" i="35"/>
  <c r="J82" i="35"/>
  <c r="I82" i="35"/>
  <c r="H82" i="35"/>
  <c r="F82" i="35"/>
  <c r="L81" i="35"/>
  <c r="J81" i="35"/>
  <c r="I81" i="35"/>
  <c r="H81" i="35"/>
  <c r="F81" i="35"/>
  <c r="K80" i="35"/>
  <c r="K94" i="35" s="1"/>
  <c r="G80" i="35"/>
  <c r="G94" i="35" s="1"/>
  <c r="E80" i="35"/>
  <c r="E94" i="35" s="1"/>
  <c r="D80" i="35"/>
  <c r="D94" i="35" s="1"/>
  <c r="C80" i="35"/>
  <c r="C94" i="35" s="1"/>
  <c r="K78" i="35"/>
  <c r="G78" i="35"/>
  <c r="E78" i="35"/>
  <c r="D78" i="35"/>
  <c r="C78" i="35"/>
  <c r="K77" i="35"/>
  <c r="G77" i="35"/>
  <c r="E77" i="35"/>
  <c r="D77" i="35"/>
  <c r="C77" i="35"/>
  <c r="K75" i="35"/>
  <c r="G75" i="35"/>
  <c r="E75" i="35"/>
  <c r="D75" i="35"/>
  <c r="C75" i="35"/>
  <c r="L74" i="35"/>
  <c r="H74" i="35"/>
  <c r="F74" i="35"/>
  <c r="K72" i="35"/>
  <c r="G72" i="35"/>
  <c r="E72" i="35"/>
  <c r="D72" i="35"/>
  <c r="C72" i="35"/>
  <c r="L71" i="35"/>
  <c r="H71" i="35"/>
  <c r="F71" i="35"/>
  <c r="L70" i="35"/>
  <c r="H70" i="35"/>
  <c r="F70" i="35"/>
  <c r="L68" i="35"/>
  <c r="J68" i="35"/>
  <c r="I68" i="35"/>
  <c r="H68" i="35"/>
  <c r="F68" i="35"/>
  <c r="L67" i="35"/>
  <c r="J67" i="35"/>
  <c r="I67" i="35"/>
  <c r="H67" i="35"/>
  <c r="F67" i="35"/>
  <c r="L66" i="35"/>
  <c r="J66" i="35"/>
  <c r="I66" i="35"/>
  <c r="H66" i="35"/>
  <c r="F66" i="35"/>
  <c r="K65" i="35"/>
  <c r="K79" i="35" s="1"/>
  <c r="G65" i="35"/>
  <c r="G79" i="35" s="1"/>
  <c r="E65" i="35"/>
  <c r="E79" i="35" s="1"/>
  <c r="D65" i="35"/>
  <c r="D79" i="35" s="1"/>
  <c r="C65" i="35"/>
  <c r="K63" i="35"/>
  <c r="G63" i="35"/>
  <c r="E63" i="35"/>
  <c r="D63" i="35"/>
  <c r="C63" i="35"/>
  <c r="K62" i="35"/>
  <c r="G62" i="35"/>
  <c r="E62" i="35"/>
  <c r="D62" i="35"/>
  <c r="C62" i="35"/>
  <c r="K60" i="35"/>
  <c r="G60" i="35"/>
  <c r="E60" i="35"/>
  <c r="D60" i="35"/>
  <c r="C60" i="35"/>
  <c r="L59" i="35"/>
  <c r="H59" i="35"/>
  <c r="F59" i="35"/>
  <c r="K57" i="35"/>
  <c r="G57" i="35"/>
  <c r="E57" i="35"/>
  <c r="D57" i="35"/>
  <c r="C57" i="35"/>
  <c r="L56" i="35"/>
  <c r="H56" i="35"/>
  <c r="F56" i="35"/>
  <c r="L55" i="35"/>
  <c r="H55" i="35"/>
  <c r="F55" i="35"/>
  <c r="L53" i="35"/>
  <c r="J53" i="35"/>
  <c r="I53" i="35"/>
  <c r="H53" i="35"/>
  <c r="F53" i="35"/>
  <c r="L52" i="35"/>
  <c r="J52" i="35"/>
  <c r="I52" i="35"/>
  <c r="H52" i="35"/>
  <c r="F52" i="35"/>
  <c r="L51" i="35"/>
  <c r="J51" i="35"/>
  <c r="I51" i="35"/>
  <c r="H51" i="35"/>
  <c r="F51" i="35"/>
  <c r="K50" i="35"/>
  <c r="K64" i="35" s="1"/>
  <c r="G50" i="35"/>
  <c r="G64" i="35" s="1"/>
  <c r="E50" i="35"/>
  <c r="D50" i="35"/>
  <c r="D64" i="35" s="1"/>
  <c r="C50" i="35"/>
  <c r="K48" i="35"/>
  <c r="G48" i="35"/>
  <c r="E48" i="35"/>
  <c r="D48" i="35"/>
  <c r="C48" i="35"/>
  <c r="K47" i="35"/>
  <c r="G47" i="35"/>
  <c r="E47" i="35"/>
  <c r="D47" i="35"/>
  <c r="C47" i="35"/>
  <c r="K45" i="35"/>
  <c r="G45" i="35"/>
  <c r="E45" i="35"/>
  <c r="D45" i="35"/>
  <c r="C45" i="35"/>
  <c r="L44" i="35"/>
  <c r="H44" i="35"/>
  <c r="F44" i="35"/>
  <c r="K42" i="35"/>
  <c r="G42" i="35"/>
  <c r="E42" i="35"/>
  <c r="D42" i="35"/>
  <c r="C42" i="35"/>
  <c r="L41" i="35"/>
  <c r="H41" i="35"/>
  <c r="F41" i="35"/>
  <c r="L40" i="35"/>
  <c r="H40" i="35"/>
  <c r="F40" i="35"/>
  <c r="L38" i="35"/>
  <c r="J38" i="35"/>
  <c r="I38" i="35"/>
  <c r="H38" i="35"/>
  <c r="F38" i="35"/>
  <c r="L37" i="35"/>
  <c r="J37" i="35"/>
  <c r="I37" i="35"/>
  <c r="H37" i="35"/>
  <c r="F37" i="35"/>
  <c r="L36" i="35"/>
  <c r="J36" i="35"/>
  <c r="I36" i="35"/>
  <c r="H36" i="35"/>
  <c r="F36" i="35"/>
  <c r="K35" i="35"/>
  <c r="K49" i="35" s="1"/>
  <c r="G35" i="35"/>
  <c r="G49" i="35" s="1"/>
  <c r="E35" i="35"/>
  <c r="E49" i="35" s="1"/>
  <c r="D35" i="35"/>
  <c r="D49" i="35" s="1"/>
  <c r="C35" i="35"/>
  <c r="C49" i="35" s="1"/>
  <c r="K33" i="35"/>
  <c r="G33" i="35"/>
  <c r="E33" i="35"/>
  <c r="D33" i="35"/>
  <c r="C33" i="35"/>
  <c r="K32" i="35"/>
  <c r="G32" i="35"/>
  <c r="E32" i="35"/>
  <c r="D32" i="35"/>
  <c r="C32" i="35"/>
  <c r="K30" i="35"/>
  <c r="G30" i="35"/>
  <c r="E30" i="35"/>
  <c r="D30" i="35"/>
  <c r="C30" i="35"/>
  <c r="L29" i="35"/>
  <c r="H29" i="35"/>
  <c r="F29" i="35"/>
  <c r="K27" i="35"/>
  <c r="G27" i="35"/>
  <c r="E27" i="35"/>
  <c r="D27" i="35"/>
  <c r="C27" i="35"/>
  <c r="L26" i="35"/>
  <c r="H26" i="35"/>
  <c r="F26" i="35"/>
  <c r="L25" i="35"/>
  <c r="H25" i="35"/>
  <c r="F25" i="35"/>
  <c r="L23" i="35"/>
  <c r="J23" i="35"/>
  <c r="I23" i="35"/>
  <c r="H23" i="35"/>
  <c r="F23" i="35"/>
  <c r="L22" i="35"/>
  <c r="J22" i="35"/>
  <c r="I22" i="35"/>
  <c r="H22" i="35"/>
  <c r="F22" i="35"/>
  <c r="L21" i="35"/>
  <c r="J21" i="35"/>
  <c r="I21" i="35"/>
  <c r="H21" i="35"/>
  <c r="F21" i="35"/>
  <c r="K20" i="35"/>
  <c r="K34" i="35" s="1"/>
  <c r="G20" i="35"/>
  <c r="G34" i="35" s="1"/>
  <c r="E20" i="35"/>
  <c r="E34" i="35" s="1"/>
  <c r="D20" i="35"/>
  <c r="D34" i="35" s="1"/>
  <c r="C20" i="35"/>
  <c r="C34" i="35" s="1"/>
  <c r="B5" i="35"/>
  <c r="M4" i="35"/>
  <c r="M2" i="35"/>
  <c r="M1" i="35"/>
  <c r="G7" i="35" a="1"/>
  <c r="K10" i="36" a="1"/>
  <c r="C7" i="36" a="1"/>
  <c r="C10" i="36" a="1"/>
  <c r="E6" i="36" a="1"/>
  <c r="G8" i="35" a="1"/>
  <c r="K10" i="35" a="1"/>
  <c r="G14" i="35" a="1"/>
  <c r="G6" i="36" a="1"/>
  <c r="K8" i="36" a="1"/>
  <c r="D10" i="35" a="1"/>
  <c r="D10" i="36" a="1"/>
  <c r="E11" i="36" a="1"/>
  <c r="D14" i="35" a="1"/>
  <c r="K14" i="35" a="1"/>
  <c r="C10" i="35" a="1"/>
  <c r="E6" i="35" a="1"/>
  <c r="E14" i="35" a="1"/>
  <c r="E8" i="36" a="1"/>
  <c r="D8" i="35" a="1"/>
  <c r="D6" i="35" a="1"/>
  <c r="E10" i="36" a="1"/>
  <c r="E11" i="35" a="1"/>
  <c r="E7" i="35" a="1"/>
  <c r="D6" i="36" a="1"/>
  <c r="E8" i="35" a="1"/>
  <c r="K11" i="36" a="1"/>
  <c r="G10" i="36" a="1"/>
  <c r="C11" i="36" a="1"/>
  <c r="G14" i="36" a="1"/>
  <c r="E7" i="36" a="1"/>
  <c r="C8" i="35" a="1"/>
  <c r="G10" i="35" a="1"/>
  <c r="K14" i="36" a="1"/>
  <c r="C11" i="35" a="1"/>
  <c r="C8" i="36" a="1"/>
  <c r="C14" i="36" a="1"/>
  <c r="G11" i="36" a="1"/>
  <c r="C7" i="35" a="1"/>
  <c r="E14" i="36" a="1"/>
  <c r="G11" i="35" a="1"/>
  <c r="K11" i="35" a="1"/>
  <c r="D7" i="36" a="1"/>
  <c r="G7" i="36" a="1"/>
  <c r="C6" i="36" a="1"/>
  <c r="D11" i="36" a="1"/>
  <c r="D7" i="35" a="1"/>
  <c r="D11" i="35" a="1"/>
  <c r="K6" i="35" a="1"/>
  <c r="K6" i="36" a="1"/>
  <c r="D8" i="36" a="1"/>
  <c r="G6" i="35" a="1"/>
  <c r="K7" i="36" a="1"/>
  <c r="C14" i="35" a="1"/>
  <c r="D14" i="36" a="1"/>
  <c r="C6" i="35" a="1"/>
  <c r="E10" i="35" a="1"/>
  <c r="K7" i="35" a="1"/>
  <c r="K8" i="35" a="1"/>
  <c r="G8" i="36" a="1"/>
  <c r="D11" i="36" l="1"/>
  <c r="G10" i="36"/>
  <c r="D7" i="35"/>
  <c r="D14" i="35"/>
  <c r="K10" i="35"/>
  <c r="D7" i="36"/>
  <c r="E8" i="36"/>
  <c r="E6" i="36"/>
  <c r="E10" i="36"/>
  <c r="G8" i="36"/>
  <c r="K8" i="36"/>
  <c r="E8" i="35"/>
  <c r="E6" i="35"/>
  <c r="E10" i="35"/>
  <c r="G8" i="35"/>
  <c r="K8" i="35"/>
  <c r="D8" i="36"/>
  <c r="D6" i="36"/>
  <c r="D10" i="36"/>
  <c r="G7" i="36"/>
  <c r="K7" i="36"/>
  <c r="D8" i="35"/>
  <c r="D6" i="35"/>
  <c r="D10" i="35"/>
  <c r="G7" i="35"/>
  <c r="K7" i="35"/>
  <c r="C6" i="36"/>
  <c r="C10" i="36"/>
  <c r="G6" i="36"/>
  <c r="K6" i="36"/>
  <c r="C8" i="35"/>
  <c r="C6" i="35"/>
  <c r="C10" i="35"/>
  <c r="G6" i="35"/>
  <c r="K6" i="35"/>
  <c r="C8" i="36"/>
  <c r="E7" i="36"/>
  <c r="E11" i="36"/>
  <c r="E14" i="36"/>
  <c r="G11" i="36"/>
  <c r="K11" i="36"/>
  <c r="E7" i="35"/>
  <c r="E11" i="35"/>
  <c r="E14" i="35"/>
  <c r="G11" i="35"/>
  <c r="K11" i="35"/>
  <c r="D14" i="36"/>
  <c r="K10" i="36"/>
  <c r="D11" i="35"/>
  <c r="G10" i="35"/>
  <c r="C7" i="36"/>
  <c r="C11" i="36"/>
  <c r="C14" i="36"/>
  <c r="G14" i="36"/>
  <c r="K14" i="36"/>
  <c r="C7" i="35"/>
  <c r="C11" i="35"/>
  <c r="C14" i="35"/>
  <c r="G14" i="35"/>
  <c r="K14" i="35"/>
  <c r="L77" i="35"/>
  <c r="L87" i="35"/>
  <c r="L147" i="35"/>
  <c r="L72" i="36"/>
  <c r="L132" i="36"/>
  <c r="H170" i="36"/>
  <c r="F95" i="36"/>
  <c r="L192" i="35"/>
  <c r="L195" i="35"/>
  <c r="L170" i="35"/>
  <c r="L125" i="35"/>
  <c r="L135" i="35"/>
  <c r="L123" i="35"/>
  <c r="L65" i="35"/>
  <c r="K210" i="35"/>
  <c r="L33" i="35"/>
  <c r="L20" i="35"/>
  <c r="L192" i="36"/>
  <c r="L177" i="36"/>
  <c r="L75" i="36"/>
  <c r="L27" i="36"/>
  <c r="D200" i="36"/>
  <c r="D214" i="36" s="1"/>
  <c r="F50" i="35"/>
  <c r="L50" i="35"/>
  <c r="F140" i="35"/>
  <c r="L140" i="35"/>
  <c r="L162" i="35"/>
  <c r="L185" i="35"/>
  <c r="L203" i="35"/>
  <c r="K207" i="35"/>
  <c r="L87" i="36"/>
  <c r="F125" i="36"/>
  <c r="L125" i="36"/>
  <c r="L147" i="36"/>
  <c r="J155" i="36"/>
  <c r="L185" i="36"/>
  <c r="E200" i="36"/>
  <c r="E214" i="36" s="1"/>
  <c r="K207" i="36"/>
  <c r="L27" i="35"/>
  <c r="L63" i="35"/>
  <c r="I102" i="36"/>
  <c r="F140" i="36"/>
  <c r="L140" i="36"/>
  <c r="L162" i="36"/>
  <c r="K210" i="36"/>
  <c r="J192" i="35"/>
  <c r="F192" i="35"/>
  <c r="F170" i="35"/>
  <c r="F155" i="35"/>
  <c r="H105" i="35"/>
  <c r="H45" i="35"/>
  <c r="F45" i="35"/>
  <c r="H192" i="35"/>
  <c r="J197" i="35"/>
  <c r="H198" i="35"/>
  <c r="L197" i="35"/>
  <c r="H185" i="35"/>
  <c r="I198" i="35"/>
  <c r="J198" i="35"/>
  <c r="I192" i="35"/>
  <c r="F185" i="35"/>
  <c r="J177" i="35"/>
  <c r="H170" i="35"/>
  <c r="J183" i="35"/>
  <c r="H177" i="35"/>
  <c r="L183" i="35"/>
  <c r="L177" i="35"/>
  <c r="F182" i="35"/>
  <c r="J170" i="35"/>
  <c r="I170" i="35"/>
  <c r="H165" i="35"/>
  <c r="H167" i="35"/>
  <c r="J155" i="35"/>
  <c r="I167" i="35"/>
  <c r="L155" i="35"/>
  <c r="F165" i="35"/>
  <c r="F167" i="35"/>
  <c r="H150" i="35"/>
  <c r="H153" i="35"/>
  <c r="H152" i="35"/>
  <c r="L150" i="35"/>
  <c r="I152" i="35"/>
  <c r="J152" i="35"/>
  <c r="F147" i="35"/>
  <c r="I153" i="35"/>
  <c r="I147" i="35"/>
  <c r="F153" i="35"/>
  <c r="J132" i="35"/>
  <c r="J137" i="35"/>
  <c r="H138" i="35"/>
  <c r="L132" i="35"/>
  <c r="L137" i="35"/>
  <c r="F132" i="35"/>
  <c r="H132" i="35"/>
  <c r="H125" i="35"/>
  <c r="I138" i="35"/>
  <c r="J138" i="35"/>
  <c r="I132" i="35"/>
  <c r="I125" i="35"/>
  <c r="J117" i="35"/>
  <c r="L117" i="35"/>
  <c r="I117" i="35"/>
  <c r="H117" i="35"/>
  <c r="F110" i="35"/>
  <c r="L110" i="35"/>
  <c r="I110" i="35"/>
  <c r="F117" i="35"/>
  <c r="H102" i="35"/>
  <c r="L102" i="35"/>
  <c r="F102" i="35"/>
  <c r="H107" i="35"/>
  <c r="L109" i="35"/>
  <c r="I108" i="35"/>
  <c r="E200" i="35"/>
  <c r="L95" i="35"/>
  <c r="I107" i="35"/>
  <c r="F105" i="35"/>
  <c r="F108" i="35"/>
  <c r="J87" i="35"/>
  <c r="F87" i="35"/>
  <c r="F80" i="35"/>
  <c r="I93" i="35"/>
  <c r="I94" i="35"/>
  <c r="H93" i="35"/>
  <c r="I87" i="35"/>
  <c r="F93" i="35"/>
  <c r="I92" i="35"/>
  <c r="J78" i="35"/>
  <c r="J72" i="35"/>
  <c r="L72" i="35"/>
  <c r="I72" i="35"/>
  <c r="H72" i="35"/>
  <c r="I65" i="35"/>
  <c r="H65" i="35"/>
  <c r="I78" i="35"/>
  <c r="J202" i="35"/>
  <c r="F72" i="35"/>
  <c r="F65" i="35"/>
  <c r="H57" i="35"/>
  <c r="H50" i="35"/>
  <c r="L57" i="35"/>
  <c r="J57" i="35"/>
  <c r="I57" i="35"/>
  <c r="I50" i="35"/>
  <c r="E64" i="35"/>
  <c r="J64" i="35" s="1"/>
  <c r="F57" i="35"/>
  <c r="I62" i="35"/>
  <c r="H42" i="35"/>
  <c r="J201" i="35"/>
  <c r="L42" i="35"/>
  <c r="F42" i="35"/>
  <c r="L49" i="35"/>
  <c r="H47" i="35"/>
  <c r="I47" i="35"/>
  <c r="L35" i="35"/>
  <c r="I48" i="35"/>
  <c r="I202" i="35"/>
  <c r="F48" i="35"/>
  <c r="C207" i="35"/>
  <c r="F47" i="35"/>
  <c r="J209" i="35"/>
  <c r="G212" i="35"/>
  <c r="G210" i="35"/>
  <c r="G207" i="35"/>
  <c r="G213" i="35"/>
  <c r="J32" i="35"/>
  <c r="H202" i="35"/>
  <c r="L209" i="35"/>
  <c r="E207" i="35"/>
  <c r="F27" i="35"/>
  <c r="H27" i="35"/>
  <c r="J27" i="35"/>
  <c r="F205" i="35"/>
  <c r="I34" i="35"/>
  <c r="F20" i="35"/>
  <c r="H33" i="35"/>
  <c r="H203" i="35"/>
  <c r="F33" i="35"/>
  <c r="F203" i="35"/>
  <c r="D210" i="35"/>
  <c r="D207" i="35"/>
  <c r="F206" i="35"/>
  <c r="C210" i="35"/>
  <c r="I33" i="35"/>
  <c r="F155" i="36"/>
  <c r="F165" i="36"/>
  <c r="F132" i="36"/>
  <c r="H132" i="36"/>
  <c r="F117" i="36"/>
  <c r="H117" i="36"/>
  <c r="I95" i="36"/>
  <c r="L95" i="36"/>
  <c r="F80" i="36"/>
  <c r="L65" i="36"/>
  <c r="F50" i="36"/>
  <c r="L50" i="36"/>
  <c r="L35" i="36"/>
  <c r="I42" i="36"/>
  <c r="L20" i="36"/>
  <c r="H195" i="36"/>
  <c r="H198" i="36"/>
  <c r="H197" i="36"/>
  <c r="F195" i="36"/>
  <c r="L195" i="36"/>
  <c r="I192" i="36"/>
  <c r="H192" i="36"/>
  <c r="I198" i="36"/>
  <c r="J192" i="36"/>
  <c r="J197" i="36"/>
  <c r="F192" i="36"/>
  <c r="H183" i="36"/>
  <c r="J177" i="36"/>
  <c r="I177" i="36"/>
  <c r="H177" i="36"/>
  <c r="F170" i="36"/>
  <c r="L170" i="36"/>
  <c r="J183" i="36"/>
  <c r="F177" i="36"/>
  <c r="I170" i="36"/>
  <c r="H155" i="36"/>
  <c r="F162" i="36"/>
  <c r="H162" i="36"/>
  <c r="J162" i="36"/>
  <c r="I155" i="36"/>
  <c r="L155" i="36"/>
  <c r="I162" i="36"/>
  <c r="F167" i="36"/>
  <c r="H150" i="36"/>
  <c r="H152" i="36"/>
  <c r="F147" i="36"/>
  <c r="J147" i="36"/>
  <c r="I152" i="36"/>
  <c r="I147" i="36"/>
  <c r="F153" i="36"/>
  <c r="H135" i="36"/>
  <c r="H138" i="36"/>
  <c r="H137" i="36"/>
  <c r="F135" i="36"/>
  <c r="L135" i="36"/>
  <c r="J132" i="36"/>
  <c r="J137" i="36"/>
  <c r="I138" i="36"/>
  <c r="I132" i="36"/>
  <c r="J117" i="36"/>
  <c r="H110" i="36"/>
  <c r="H123" i="36"/>
  <c r="F110" i="36"/>
  <c r="L110" i="36"/>
  <c r="J123" i="36"/>
  <c r="I117" i="36"/>
  <c r="I110" i="36"/>
  <c r="J95" i="36"/>
  <c r="J102" i="36"/>
  <c r="L102" i="36"/>
  <c r="F102" i="36"/>
  <c r="H102" i="36"/>
  <c r="F105" i="36"/>
  <c r="F107" i="36"/>
  <c r="C109" i="36"/>
  <c r="H87" i="36"/>
  <c r="J87" i="36"/>
  <c r="F87" i="36"/>
  <c r="I87" i="36"/>
  <c r="I80" i="36"/>
  <c r="J77" i="36"/>
  <c r="F72" i="36"/>
  <c r="H72" i="36"/>
  <c r="J72" i="36"/>
  <c r="I77" i="36"/>
  <c r="I72" i="36"/>
  <c r="J57" i="36"/>
  <c r="J63" i="36"/>
  <c r="L57" i="36"/>
  <c r="F57" i="36"/>
  <c r="H57" i="36"/>
  <c r="I63" i="36"/>
  <c r="I57" i="36"/>
  <c r="F203" i="36"/>
  <c r="I50" i="36"/>
  <c r="J42" i="36"/>
  <c r="L42" i="36"/>
  <c r="F42" i="36"/>
  <c r="H42" i="36"/>
  <c r="I48" i="36"/>
  <c r="I202" i="36"/>
  <c r="D213" i="36"/>
  <c r="D207" i="36"/>
  <c r="C207" i="36"/>
  <c r="F35" i="36"/>
  <c r="H209" i="36"/>
  <c r="J27" i="36"/>
  <c r="G213" i="36"/>
  <c r="G207" i="36"/>
  <c r="J20" i="36"/>
  <c r="H201" i="36"/>
  <c r="H202" i="36"/>
  <c r="J209" i="36"/>
  <c r="F27" i="36"/>
  <c r="H27" i="36"/>
  <c r="J201" i="36"/>
  <c r="I33" i="36"/>
  <c r="I27" i="36"/>
  <c r="I20" i="36"/>
  <c r="H64" i="36"/>
  <c r="F64" i="36"/>
  <c r="L64" i="36"/>
  <c r="J64" i="36"/>
  <c r="I64" i="36"/>
  <c r="H92" i="36"/>
  <c r="F92" i="36"/>
  <c r="L92" i="36"/>
  <c r="J92" i="36"/>
  <c r="L108" i="36"/>
  <c r="J108" i="36"/>
  <c r="I108" i="36"/>
  <c r="H108" i="36"/>
  <c r="F108" i="36"/>
  <c r="L168" i="36"/>
  <c r="J168" i="36"/>
  <c r="I168" i="36"/>
  <c r="H168" i="36"/>
  <c r="F168" i="36"/>
  <c r="K200" i="36"/>
  <c r="K214" i="36" s="1"/>
  <c r="K213" i="36"/>
  <c r="K212" i="36"/>
  <c r="F20" i="36"/>
  <c r="J65" i="36"/>
  <c r="I65" i="36"/>
  <c r="H65" i="36"/>
  <c r="F185" i="36"/>
  <c r="H32" i="36"/>
  <c r="F32" i="36"/>
  <c r="L32" i="36"/>
  <c r="J32" i="36"/>
  <c r="F45" i="36"/>
  <c r="L45" i="36"/>
  <c r="H45" i="36"/>
  <c r="L62" i="36"/>
  <c r="J62" i="36"/>
  <c r="H62" i="36"/>
  <c r="F62" i="36"/>
  <c r="H78" i="36"/>
  <c r="F78" i="36"/>
  <c r="L78" i="36"/>
  <c r="J78" i="36"/>
  <c r="I92" i="36"/>
  <c r="L94" i="36"/>
  <c r="J94" i="36"/>
  <c r="H94" i="36"/>
  <c r="F94" i="36"/>
  <c r="L122" i="36"/>
  <c r="J122" i="36"/>
  <c r="I122" i="36"/>
  <c r="H122" i="36"/>
  <c r="F122" i="36"/>
  <c r="F33" i="36"/>
  <c r="L33" i="36"/>
  <c r="J33" i="36"/>
  <c r="H33" i="36"/>
  <c r="J35" i="36"/>
  <c r="H35" i="36"/>
  <c r="E49" i="36"/>
  <c r="H90" i="36"/>
  <c r="F90" i="36"/>
  <c r="L90" i="36"/>
  <c r="I94" i="36"/>
  <c r="J140" i="36"/>
  <c r="I140" i="36"/>
  <c r="H140" i="36"/>
  <c r="C169" i="36"/>
  <c r="L182" i="36"/>
  <c r="J182" i="36"/>
  <c r="I182" i="36"/>
  <c r="H182" i="36"/>
  <c r="F182" i="36"/>
  <c r="L206" i="36"/>
  <c r="E212" i="36"/>
  <c r="E210" i="36"/>
  <c r="H206" i="36"/>
  <c r="F206" i="36"/>
  <c r="I32" i="36"/>
  <c r="L48" i="36"/>
  <c r="J48" i="36"/>
  <c r="H48" i="36"/>
  <c r="F48" i="36"/>
  <c r="I62" i="36"/>
  <c r="F65" i="36"/>
  <c r="I78" i="36"/>
  <c r="J80" i="36"/>
  <c r="H80" i="36"/>
  <c r="L80" i="36"/>
  <c r="I201" i="36"/>
  <c r="C200" i="36"/>
  <c r="C214" i="36" s="1"/>
  <c r="C213" i="36"/>
  <c r="F201" i="36"/>
  <c r="C212" i="36"/>
  <c r="H20" i="36"/>
  <c r="H30" i="36"/>
  <c r="F30" i="36"/>
  <c r="L30" i="36"/>
  <c r="E34" i="36"/>
  <c r="I35" i="36"/>
  <c r="L60" i="36"/>
  <c r="H60" i="36"/>
  <c r="F60" i="36"/>
  <c r="L120" i="36"/>
  <c r="H120" i="36"/>
  <c r="F120" i="36"/>
  <c r="I123" i="36"/>
  <c r="F123" i="36"/>
  <c r="F139" i="36"/>
  <c r="L139" i="36"/>
  <c r="J139" i="36"/>
  <c r="I139" i="36"/>
  <c r="H139" i="36"/>
  <c r="I137" i="36"/>
  <c r="F137" i="36"/>
  <c r="H50" i="36"/>
  <c r="J50" i="36"/>
  <c r="F93" i="36"/>
  <c r="L93" i="36"/>
  <c r="J93" i="36"/>
  <c r="I93" i="36"/>
  <c r="H93" i="36"/>
  <c r="L154" i="36"/>
  <c r="J154" i="36"/>
  <c r="I154" i="36"/>
  <c r="H154" i="36"/>
  <c r="F154" i="36"/>
  <c r="L180" i="36"/>
  <c r="H180" i="36"/>
  <c r="F180" i="36"/>
  <c r="I183" i="36"/>
  <c r="F183" i="36"/>
  <c r="F199" i="36"/>
  <c r="L199" i="36"/>
  <c r="J199" i="36"/>
  <c r="I199" i="36"/>
  <c r="H199" i="36"/>
  <c r="I197" i="36"/>
  <c r="F197" i="36"/>
  <c r="E213" i="36"/>
  <c r="L205" i="36"/>
  <c r="H205" i="36"/>
  <c r="F205" i="36"/>
  <c r="E207" i="36"/>
  <c r="F47" i="36"/>
  <c r="L47" i="36"/>
  <c r="J47" i="36"/>
  <c r="I47" i="36"/>
  <c r="H47" i="36"/>
  <c r="F79" i="36"/>
  <c r="L79" i="36"/>
  <c r="J79" i="36"/>
  <c r="I79" i="36"/>
  <c r="H79" i="36"/>
  <c r="I209" i="36"/>
  <c r="F209" i="36"/>
  <c r="C210" i="36"/>
  <c r="L63" i="36"/>
  <c r="L77" i="36"/>
  <c r="H105" i="36"/>
  <c r="H107" i="36"/>
  <c r="J110" i="36"/>
  <c r="L123" i="36"/>
  <c r="H125" i="36"/>
  <c r="L137" i="36"/>
  <c r="J138" i="36"/>
  <c r="L150" i="36"/>
  <c r="J152" i="36"/>
  <c r="H153" i="36"/>
  <c r="H165" i="36"/>
  <c r="H167" i="36"/>
  <c r="J170" i="36"/>
  <c r="L183" i="36"/>
  <c r="H185" i="36"/>
  <c r="L197" i="36"/>
  <c r="J198" i="36"/>
  <c r="L201" i="36"/>
  <c r="J202" i="36"/>
  <c r="H203" i="36"/>
  <c r="L209" i="36"/>
  <c r="I107" i="36"/>
  <c r="E109" i="36"/>
  <c r="L117" i="36"/>
  <c r="I125" i="36"/>
  <c r="H147" i="36"/>
  <c r="I153" i="36"/>
  <c r="I167" i="36"/>
  <c r="E169" i="36"/>
  <c r="I185" i="36"/>
  <c r="G200" i="36"/>
  <c r="G214" i="36" s="1"/>
  <c r="I203" i="36"/>
  <c r="F63" i="36"/>
  <c r="F75" i="36"/>
  <c r="F77" i="36"/>
  <c r="L105" i="36"/>
  <c r="J107" i="36"/>
  <c r="J125" i="36"/>
  <c r="L138" i="36"/>
  <c r="L152" i="36"/>
  <c r="J153" i="36"/>
  <c r="L165" i="36"/>
  <c r="J167" i="36"/>
  <c r="J185" i="36"/>
  <c r="L198" i="36"/>
  <c r="L202" i="36"/>
  <c r="J203" i="36"/>
  <c r="D210" i="36"/>
  <c r="D212" i="36"/>
  <c r="E124" i="36"/>
  <c r="G169" i="36"/>
  <c r="E184" i="36"/>
  <c r="H63" i="36"/>
  <c r="H75" i="36"/>
  <c r="H77" i="36"/>
  <c r="H95" i="36"/>
  <c r="L107" i="36"/>
  <c r="F138" i="36"/>
  <c r="F150" i="36"/>
  <c r="F152" i="36"/>
  <c r="L153" i="36"/>
  <c r="L167" i="36"/>
  <c r="F198" i="36"/>
  <c r="F202" i="36"/>
  <c r="L203" i="36"/>
  <c r="G210" i="36"/>
  <c r="G212" i="36"/>
  <c r="L122" i="35"/>
  <c r="J122" i="35"/>
  <c r="H122" i="35"/>
  <c r="L168" i="35"/>
  <c r="J168" i="35"/>
  <c r="I168" i="35"/>
  <c r="H168" i="35"/>
  <c r="L180" i="35"/>
  <c r="H180" i="35"/>
  <c r="F62" i="35"/>
  <c r="H87" i="35"/>
  <c r="F122" i="35"/>
  <c r="F139" i="35"/>
  <c r="L139" i="35"/>
  <c r="I139" i="35"/>
  <c r="F168" i="35"/>
  <c r="F180" i="35"/>
  <c r="D200" i="35"/>
  <c r="D214" i="35" s="1"/>
  <c r="D213" i="35"/>
  <c r="D212" i="35"/>
  <c r="C200" i="35"/>
  <c r="C214" i="35" s="1"/>
  <c r="C213" i="35"/>
  <c r="C212" i="35"/>
  <c r="J20" i="35"/>
  <c r="H20" i="35"/>
  <c r="H30" i="35"/>
  <c r="F30" i="35"/>
  <c r="I32" i="35"/>
  <c r="J35" i="35"/>
  <c r="I35" i="35"/>
  <c r="H35" i="35"/>
  <c r="L60" i="35"/>
  <c r="H60" i="35"/>
  <c r="L79" i="35"/>
  <c r="J79" i="35"/>
  <c r="J80" i="35"/>
  <c r="H80" i="35"/>
  <c r="H90" i="35"/>
  <c r="F90" i="35"/>
  <c r="J95" i="35"/>
  <c r="I95" i="35"/>
  <c r="H95" i="35"/>
  <c r="H110" i="35"/>
  <c r="E124" i="35"/>
  <c r="L120" i="35"/>
  <c r="H120" i="35"/>
  <c r="G139" i="35"/>
  <c r="J139" i="35" s="1"/>
  <c r="H92" i="35"/>
  <c r="F92" i="35"/>
  <c r="L92" i="35"/>
  <c r="F60" i="35"/>
  <c r="C64" i="35"/>
  <c r="L75" i="35"/>
  <c r="H75" i="35"/>
  <c r="F75" i="35"/>
  <c r="C79" i="35"/>
  <c r="I79" i="35" s="1"/>
  <c r="L80" i="35"/>
  <c r="J92" i="35"/>
  <c r="F120" i="35"/>
  <c r="I122" i="35"/>
  <c r="C124" i="35"/>
  <c r="J147" i="35"/>
  <c r="H147" i="35"/>
  <c r="J162" i="35"/>
  <c r="I162" i="35"/>
  <c r="H162" i="35"/>
  <c r="F162" i="35"/>
  <c r="L206" i="35"/>
  <c r="E212" i="35"/>
  <c r="E210" i="35"/>
  <c r="H206" i="35"/>
  <c r="J63" i="35"/>
  <c r="I63" i="35"/>
  <c r="H63" i="35"/>
  <c r="F63" i="35"/>
  <c r="J123" i="35"/>
  <c r="I123" i="35"/>
  <c r="H123" i="35"/>
  <c r="F123" i="35"/>
  <c r="H32" i="35"/>
  <c r="F32" i="35"/>
  <c r="L32" i="35"/>
  <c r="J77" i="35"/>
  <c r="I77" i="35"/>
  <c r="H77" i="35"/>
  <c r="F77" i="35"/>
  <c r="J109" i="35"/>
  <c r="I109" i="35"/>
  <c r="H109" i="35"/>
  <c r="F109" i="35"/>
  <c r="L154" i="35"/>
  <c r="J154" i="35"/>
  <c r="I154" i="35"/>
  <c r="H154" i="35"/>
  <c r="F199" i="35"/>
  <c r="L199" i="35"/>
  <c r="J199" i="35"/>
  <c r="I199" i="35"/>
  <c r="K200" i="35"/>
  <c r="K214" i="35" s="1"/>
  <c r="K213" i="35"/>
  <c r="K212" i="35"/>
  <c r="L62" i="35"/>
  <c r="J62" i="35"/>
  <c r="H62" i="35"/>
  <c r="L34" i="35"/>
  <c r="J34" i="35"/>
  <c r="H34" i="35"/>
  <c r="J49" i="35"/>
  <c r="I49" i="35"/>
  <c r="H49" i="35"/>
  <c r="F49" i="35"/>
  <c r="L94" i="35"/>
  <c r="J94" i="35"/>
  <c r="H94" i="35"/>
  <c r="I177" i="35"/>
  <c r="F177" i="35"/>
  <c r="I20" i="35"/>
  <c r="L30" i="35"/>
  <c r="F34" i="35"/>
  <c r="J42" i="35"/>
  <c r="I42" i="35"/>
  <c r="L48" i="35"/>
  <c r="J48" i="35"/>
  <c r="H48" i="35"/>
  <c r="J50" i="35"/>
  <c r="H79" i="35"/>
  <c r="I80" i="35"/>
  <c r="L90" i="35"/>
  <c r="F94" i="35"/>
  <c r="J102" i="35"/>
  <c r="I102" i="35"/>
  <c r="L108" i="35"/>
  <c r="J108" i="35"/>
  <c r="H108" i="35"/>
  <c r="J110" i="35"/>
  <c r="F154" i="35"/>
  <c r="H199" i="35"/>
  <c r="L201" i="35"/>
  <c r="L205" i="35"/>
  <c r="H205" i="35"/>
  <c r="F35" i="35"/>
  <c r="H78" i="35"/>
  <c r="F78" i="35"/>
  <c r="L78" i="35"/>
  <c r="F95" i="35"/>
  <c r="F107" i="35"/>
  <c r="F125" i="35"/>
  <c r="J140" i="35"/>
  <c r="I140" i="35"/>
  <c r="H140" i="35"/>
  <c r="L182" i="35"/>
  <c r="J182" i="35"/>
  <c r="I182" i="35"/>
  <c r="H182" i="35"/>
  <c r="E169" i="35"/>
  <c r="I185" i="35"/>
  <c r="G200" i="35"/>
  <c r="G214" i="35" s="1"/>
  <c r="I203" i="35"/>
  <c r="I27" i="35"/>
  <c r="J33" i="35"/>
  <c r="L45" i="35"/>
  <c r="J47" i="35"/>
  <c r="J65" i="35"/>
  <c r="J93" i="35"/>
  <c r="L105" i="35"/>
  <c r="J107" i="35"/>
  <c r="J125" i="35"/>
  <c r="F135" i="35"/>
  <c r="F137" i="35"/>
  <c r="L138" i="35"/>
  <c r="L152" i="35"/>
  <c r="J153" i="35"/>
  <c r="L165" i="35"/>
  <c r="J167" i="35"/>
  <c r="F183" i="35"/>
  <c r="J185" i="35"/>
  <c r="F195" i="35"/>
  <c r="F197" i="35"/>
  <c r="L198" i="35"/>
  <c r="F201" i="35"/>
  <c r="L202" i="35"/>
  <c r="J203" i="35"/>
  <c r="F209" i="35"/>
  <c r="E184" i="35"/>
  <c r="L47" i="35"/>
  <c r="L93" i="35"/>
  <c r="L107" i="35"/>
  <c r="H135" i="35"/>
  <c r="H137" i="35"/>
  <c r="F138" i="35"/>
  <c r="F150" i="35"/>
  <c r="F152" i="35"/>
  <c r="L153" i="35"/>
  <c r="H155" i="35"/>
  <c r="L167" i="35"/>
  <c r="H183" i="35"/>
  <c r="H195" i="35"/>
  <c r="H197" i="35"/>
  <c r="F198" i="35"/>
  <c r="H201" i="35"/>
  <c r="F202" i="35"/>
  <c r="H209" i="35"/>
  <c r="I137" i="35"/>
  <c r="I155" i="35"/>
  <c r="I183" i="35"/>
  <c r="I197" i="35"/>
  <c r="I201" i="35"/>
  <c r="I209" i="35"/>
  <c r="E213" i="35"/>
  <c r="D12" i="36" l="1"/>
  <c r="D15" i="36"/>
  <c r="K15" i="35"/>
  <c r="I7" i="35"/>
  <c r="H6" i="35"/>
  <c r="L207" i="35"/>
  <c r="L7" i="35"/>
  <c r="H10" i="35"/>
  <c r="F10" i="35"/>
  <c r="L64" i="35"/>
  <c r="F64" i="35"/>
  <c r="H64" i="35"/>
  <c r="F8" i="35"/>
  <c r="I8" i="35"/>
  <c r="L8" i="35"/>
  <c r="E18" i="35"/>
  <c r="E5" i="35"/>
  <c r="J8" i="35"/>
  <c r="C17" i="35"/>
  <c r="F6" i="35"/>
  <c r="C5" i="35"/>
  <c r="K18" i="35"/>
  <c r="L6" i="35"/>
  <c r="J6" i="35"/>
  <c r="K5" i="35"/>
  <c r="K19" i="35" s="1"/>
  <c r="I6" i="35"/>
  <c r="G5" i="35"/>
  <c r="G19" i="35" s="1"/>
  <c r="G18" i="35"/>
  <c r="H7" i="35"/>
  <c r="J7" i="35"/>
  <c r="H8" i="35"/>
  <c r="F7" i="35"/>
  <c r="G12" i="35"/>
  <c r="I64" i="35"/>
  <c r="K12" i="35"/>
  <c r="L10" i="35"/>
  <c r="K17" i="35"/>
  <c r="H139" i="35"/>
  <c r="I200" i="35"/>
  <c r="E214" i="35"/>
  <c r="I214" i="35" s="1"/>
  <c r="I207" i="35"/>
  <c r="F207" i="35"/>
  <c r="H207" i="35"/>
  <c r="F79" i="35"/>
  <c r="J207" i="35"/>
  <c r="C15" i="35"/>
  <c r="G15" i="35"/>
  <c r="H200" i="35"/>
  <c r="J200" i="35"/>
  <c r="E15" i="35"/>
  <c r="F200" i="35"/>
  <c r="L200" i="35"/>
  <c r="D15" i="35"/>
  <c r="C18" i="35"/>
  <c r="C15" i="36"/>
  <c r="C12" i="36"/>
  <c r="I200" i="36"/>
  <c r="H200" i="36"/>
  <c r="D17" i="36"/>
  <c r="D5" i="36"/>
  <c r="D19" i="36" s="1"/>
  <c r="D18" i="36"/>
  <c r="J109" i="36"/>
  <c r="I109" i="36"/>
  <c r="H109" i="36"/>
  <c r="F109" i="36"/>
  <c r="L109" i="36"/>
  <c r="F213" i="36"/>
  <c r="L213" i="36"/>
  <c r="J213" i="36"/>
  <c r="I213" i="36"/>
  <c r="H213" i="36"/>
  <c r="J200" i="36"/>
  <c r="G15" i="36"/>
  <c r="J14" i="36"/>
  <c r="F14" i="36"/>
  <c r="E15" i="36"/>
  <c r="I14" i="36"/>
  <c r="L14" i="36"/>
  <c r="H14" i="36"/>
  <c r="F200" i="36"/>
  <c r="L214" i="36"/>
  <c r="J214" i="36"/>
  <c r="I214" i="36"/>
  <c r="H214" i="36"/>
  <c r="F214" i="36"/>
  <c r="K15" i="36"/>
  <c r="F7" i="36"/>
  <c r="L7" i="36"/>
  <c r="J7" i="36"/>
  <c r="I7" i="36"/>
  <c r="H7" i="36"/>
  <c r="G12" i="36"/>
  <c r="G17" i="36"/>
  <c r="G18" i="36"/>
  <c r="G5" i="36"/>
  <c r="G19" i="36" s="1"/>
  <c r="H210" i="36"/>
  <c r="F210" i="36"/>
  <c r="L210" i="36"/>
  <c r="H10" i="36"/>
  <c r="L10" i="36"/>
  <c r="F10" i="36"/>
  <c r="H11" i="36"/>
  <c r="E12" i="36"/>
  <c r="L11" i="36"/>
  <c r="F11" i="36"/>
  <c r="H184" i="36"/>
  <c r="F184" i="36"/>
  <c r="L184" i="36"/>
  <c r="J184" i="36"/>
  <c r="I184" i="36"/>
  <c r="L207" i="36"/>
  <c r="J207" i="36"/>
  <c r="I207" i="36"/>
  <c r="H207" i="36"/>
  <c r="F207" i="36"/>
  <c r="L34" i="36"/>
  <c r="J34" i="36"/>
  <c r="H34" i="36"/>
  <c r="F34" i="36"/>
  <c r="I34" i="36"/>
  <c r="H212" i="36"/>
  <c r="F212" i="36"/>
  <c r="L212" i="36"/>
  <c r="J212" i="36"/>
  <c r="I212" i="36"/>
  <c r="J169" i="36"/>
  <c r="I169" i="36"/>
  <c r="H169" i="36"/>
  <c r="F169" i="36"/>
  <c r="L169" i="36"/>
  <c r="H124" i="36"/>
  <c r="F124" i="36"/>
  <c r="L124" i="36"/>
  <c r="J124" i="36"/>
  <c r="I124" i="36"/>
  <c r="L200" i="36"/>
  <c r="F6" i="36"/>
  <c r="E18" i="36"/>
  <c r="E17" i="36"/>
  <c r="L6" i="36"/>
  <c r="E5" i="36"/>
  <c r="H6" i="36"/>
  <c r="J6" i="36"/>
  <c r="I6" i="36"/>
  <c r="K18" i="36"/>
  <c r="K17" i="36"/>
  <c r="K5" i="36"/>
  <c r="K19" i="36" s="1"/>
  <c r="J8" i="36"/>
  <c r="I8" i="36"/>
  <c r="H8" i="36"/>
  <c r="F8" i="36"/>
  <c r="L8" i="36"/>
  <c r="K12" i="36"/>
  <c r="J49" i="36"/>
  <c r="H49" i="36"/>
  <c r="F49" i="36"/>
  <c r="L49" i="36"/>
  <c r="I49" i="36"/>
  <c r="C17" i="36"/>
  <c r="C18" i="36"/>
  <c r="C5" i="36"/>
  <c r="C19" i="36" s="1"/>
  <c r="H210" i="35"/>
  <c r="F210" i="35"/>
  <c r="L210" i="35"/>
  <c r="H184" i="35"/>
  <c r="F184" i="35"/>
  <c r="L184" i="35"/>
  <c r="I184" i="35"/>
  <c r="J184" i="35"/>
  <c r="J169" i="35"/>
  <c r="I169" i="35"/>
  <c r="H169" i="35"/>
  <c r="F169" i="35"/>
  <c r="L169" i="35"/>
  <c r="D18" i="35"/>
  <c r="D17" i="35"/>
  <c r="D5" i="35"/>
  <c r="D19" i="35" s="1"/>
  <c r="H124" i="35"/>
  <c r="F124" i="35"/>
  <c r="L124" i="35"/>
  <c r="J124" i="35"/>
  <c r="I124" i="35"/>
  <c r="H212" i="35"/>
  <c r="F212" i="35"/>
  <c r="L212" i="35"/>
  <c r="J212" i="35"/>
  <c r="I212" i="35"/>
  <c r="F213" i="35"/>
  <c r="L213" i="35"/>
  <c r="J213" i="35"/>
  <c r="I213" i="35"/>
  <c r="H213" i="35"/>
  <c r="D12" i="35"/>
  <c r="C12" i="35"/>
  <c r="J14" i="35"/>
  <c r="H14" i="35"/>
  <c r="I14" i="35"/>
  <c r="F14" i="35"/>
  <c r="L14" i="35"/>
  <c r="G17" i="35"/>
  <c r="L11" i="35"/>
  <c r="H11" i="35"/>
  <c r="F11" i="35"/>
  <c r="E17" i="35"/>
  <c r="E12" i="35"/>
  <c r="M4" i="23"/>
  <c r="B5" i="26"/>
  <c r="B5" i="31"/>
  <c r="M4" i="26"/>
  <c r="M2" i="26"/>
  <c r="M1" i="26"/>
  <c r="L5" i="35" l="1"/>
  <c r="H5" i="35"/>
  <c r="L18" i="35"/>
  <c r="J5" i="35"/>
  <c r="H18" i="35"/>
  <c r="I18" i="35"/>
  <c r="I5" i="35"/>
  <c r="E19" i="35"/>
  <c r="L19" i="35" s="1"/>
  <c r="C19" i="35"/>
  <c r="F5" i="35"/>
  <c r="J18" i="35"/>
  <c r="F214" i="35"/>
  <c r="J214" i="35"/>
  <c r="L214" i="35"/>
  <c r="H214" i="35"/>
  <c r="F18" i="35"/>
  <c r="L5" i="36"/>
  <c r="H17" i="36"/>
  <c r="L17" i="36"/>
  <c r="I17" i="36"/>
  <c r="F17" i="36"/>
  <c r="J17" i="36"/>
  <c r="F18" i="36"/>
  <c r="J18" i="36"/>
  <c r="I18" i="36"/>
  <c r="H18" i="36"/>
  <c r="L18" i="36"/>
  <c r="F5" i="36"/>
  <c r="L12" i="36"/>
  <c r="H12" i="36"/>
  <c r="J12" i="36"/>
  <c r="I12" i="36"/>
  <c r="F12" i="36"/>
  <c r="I5" i="36"/>
  <c r="H5" i="36"/>
  <c r="E19" i="36"/>
  <c r="J5" i="36"/>
  <c r="H15" i="36"/>
  <c r="F15" i="36"/>
  <c r="L15" i="36"/>
  <c r="H15" i="35"/>
  <c r="F15" i="35"/>
  <c r="L15" i="35"/>
  <c r="J12" i="35"/>
  <c r="I12" i="35"/>
  <c r="H12" i="35"/>
  <c r="F12" i="35"/>
  <c r="L12" i="35"/>
  <c r="I17" i="35"/>
  <c r="H17" i="35"/>
  <c r="F17" i="35"/>
  <c r="L17" i="35"/>
  <c r="J17" i="35"/>
  <c r="M4" i="31"/>
  <c r="H19" i="35" l="1"/>
  <c r="J19" i="35"/>
  <c r="F19" i="35"/>
  <c r="I19" i="35"/>
  <c r="L19" i="36"/>
  <c r="H19" i="36"/>
  <c r="J19" i="36"/>
  <c r="I19" i="36"/>
  <c r="F19" i="36"/>
  <c r="M2" i="31"/>
  <c r="M1" i="31"/>
  <c r="K194" i="23" l="1"/>
  <c r="K191" i="23"/>
  <c r="K190" i="23"/>
  <c r="K188" i="23"/>
  <c r="K187" i="23"/>
  <c r="K186" i="23"/>
  <c r="K179" i="23"/>
  <c r="K176" i="23"/>
  <c r="K175" i="23"/>
  <c r="K173" i="23"/>
  <c r="K172" i="23"/>
  <c r="K171" i="23"/>
  <c r="K164" i="23"/>
  <c r="K161" i="23"/>
  <c r="K160" i="23"/>
  <c r="K158" i="23"/>
  <c r="K157" i="23"/>
  <c r="K156" i="23"/>
  <c r="K149" i="23"/>
  <c r="K146" i="23"/>
  <c r="K145" i="23"/>
  <c r="K143" i="23"/>
  <c r="K142" i="23"/>
  <c r="K141" i="23"/>
  <c r="K134" i="23"/>
  <c r="K131" i="23"/>
  <c r="K130" i="23"/>
  <c r="K128" i="23"/>
  <c r="K127" i="23"/>
  <c r="K126" i="23"/>
  <c r="K119" i="23"/>
  <c r="K116" i="23"/>
  <c r="K115" i="23"/>
  <c r="K113" i="23"/>
  <c r="K112" i="23"/>
  <c r="K111" i="23"/>
  <c r="K104" i="23"/>
  <c r="K101" i="23"/>
  <c r="K100" i="23"/>
  <c r="K98" i="23"/>
  <c r="K97" i="23"/>
  <c r="K96" i="23"/>
  <c r="K89" i="23"/>
  <c r="K86" i="23"/>
  <c r="K85" i="23"/>
  <c r="K83" i="23"/>
  <c r="K82" i="23"/>
  <c r="K81" i="23"/>
  <c r="K74" i="23"/>
  <c r="K71" i="23"/>
  <c r="K70" i="23"/>
  <c r="K68" i="23"/>
  <c r="K67" i="23"/>
  <c r="K66" i="23"/>
  <c r="K59" i="23"/>
  <c r="K56" i="23"/>
  <c r="K55" i="23"/>
  <c r="K53" i="23"/>
  <c r="K52" i="23"/>
  <c r="K51" i="23"/>
  <c r="K44" i="23"/>
  <c r="K41" i="23"/>
  <c r="K40" i="23"/>
  <c r="K38" i="23"/>
  <c r="K37" i="23"/>
  <c r="K36" i="23"/>
  <c r="K29" i="23"/>
  <c r="K26" i="23"/>
  <c r="K25" i="23"/>
  <c r="K23" i="23"/>
  <c r="K22" i="23"/>
  <c r="K21" i="23"/>
  <c r="J188" i="26"/>
  <c r="I188" i="26"/>
  <c r="J187" i="26"/>
  <c r="I187" i="26"/>
  <c r="J186" i="26"/>
  <c r="I186" i="26"/>
  <c r="J173" i="26"/>
  <c r="I173" i="26"/>
  <c r="J172" i="26"/>
  <c r="I172" i="26"/>
  <c r="J171" i="26"/>
  <c r="I171" i="26"/>
  <c r="J158" i="26"/>
  <c r="I158" i="26"/>
  <c r="J157" i="26"/>
  <c r="I157" i="26"/>
  <c r="J156" i="26"/>
  <c r="I156" i="26"/>
  <c r="J143" i="26"/>
  <c r="I143" i="26"/>
  <c r="J142" i="26"/>
  <c r="I142" i="26"/>
  <c r="J141" i="26"/>
  <c r="I141" i="26"/>
  <c r="J128" i="26"/>
  <c r="I128" i="26"/>
  <c r="J127" i="26"/>
  <c r="I127" i="26"/>
  <c r="J126" i="26"/>
  <c r="I126" i="26"/>
  <c r="J113" i="26"/>
  <c r="I113" i="26"/>
  <c r="J112" i="26"/>
  <c r="I112" i="26"/>
  <c r="J111" i="26"/>
  <c r="I111" i="26"/>
  <c r="J98" i="26"/>
  <c r="I98" i="26"/>
  <c r="J97" i="26"/>
  <c r="I97" i="26"/>
  <c r="J96" i="26"/>
  <c r="I96" i="26"/>
  <c r="J83" i="26"/>
  <c r="I83" i="26"/>
  <c r="J82" i="26"/>
  <c r="I82" i="26"/>
  <c r="J81" i="26"/>
  <c r="I81" i="26"/>
  <c r="J68" i="26"/>
  <c r="I68" i="26"/>
  <c r="J67" i="26"/>
  <c r="I67" i="26"/>
  <c r="J66" i="26"/>
  <c r="I66" i="26"/>
  <c r="J53" i="26"/>
  <c r="I53" i="26"/>
  <c r="J52" i="26"/>
  <c r="I52" i="26"/>
  <c r="J51" i="26"/>
  <c r="I51" i="26"/>
  <c r="J38" i="26"/>
  <c r="I38" i="26"/>
  <c r="J37" i="26"/>
  <c r="I37" i="26"/>
  <c r="J36" i="26"/>
  <c r="I36" i="26"/>
  <c r="J23" i="26"/>
  <c r="I23" i="26"/>
  <c r="J22" i="26"/>
  <c r="I22" i="26"/>
  <c r="J21" i="26"/>
  <c r="I21" i="26"/>
  <c r="E198" i="26"/>
  <c r="D198" i="26"/>
  <c r="C198" i="26"/>
  <c r="E197" i="26"/>
  <c r="D197" i="26"/>
  <c r="C197" i="26"/>
  <c r="E195" i="26"/>
  <c r="D195" i="26"/>
  <c r="C195" i="26"/>
  <c r="E192" i="26"/>
  <c r="D192" i="26"/>
  <c r="C192" i="26"/>
  <c r="E185" i="26"/>
  <c r="E199" i="26" s="1"/>
  <c r="D185" i="26"/>
  <c r="D199" i="26" s="1"/>
  <c r="C185" i="26"/>
  <c r="C199" i="26" s="1"/>
  <c r="E183" i="26"/>
  <c r="D183" i="26"/>
  <c r="C183" i="26"/>
  <c r="E182" i="26"/>
  <c r="D182" i="26"/>
  <c r="C182" i="26"/>
  <c r="E180" i="26"/>
  <c r="D180" i="26"/>
  <c r="C180" i="26"/>
  <c r="E177" i="26"/>
  <c r="D177" i="26"/>
  <c r="C177" i="26"/>
  <c r="E170" i="26"/>
  <c r="E184" i="26" s="1"/>
  <c r="D170" i="26"/>
  <c r="D184" i="26" s="1"/>
  <c r="C170" i="26"/>
  <c r="C184" i="26" s="1"/>
  <c r="E168" i="26"/>
  <c r="D168" i="26"/>
  <c r="C168" i="26"/>
  <c r="E167" i="26"/>
  <c r="D167" i="26"/>
  <c r="C167" i="26"/>
  <c r="E165" i="26"/>
  <c r="D165" i="26"/>
  <c r="C165" i="26"/>
  <c r="E162" i="26"/>
  <c r="D162" i="26"/>
  <c r="C162" i="26"/>
  <c r="E155" i="26"/>
  <c r="E169" i="26" s="1"/>
  <c r="D155" i="26"/>
  <c r="D169" i="26" s="1"/>
  <c r="C155" i="26"/>
  <c r="C169" i="26" s="1"/>
  <c r="E153" i="26"/>
  <c r="D153" i="26"/>
  <c r="C153" i="26"/>
  <c r="E152" i="26"/>
  <c r="D152" i="26"/>
  <c r="C152" i="26"/>
  <c r="E150" i="26"/>
  <c r="D150" i="26"/>
  <c r="C150" i="26"/>
  <c r="E147" i="26"/>
  <c r="D147" i="26"/>
  <c r="C147" i="26"/>
  <c r="E140" i="26"/>
  <c r="E154" i="26" s="1"/>
  <c r="D140" i="26"/>
  <c r="D154" i="26" s="1"/>
  <c r="C140" i="26"/>
  <c r="C154" i="26" s="1"/>
  <c r="E138" i="26"/>
  <c r="D138" i="26"/>
  <c r="C138" i="26"/>
  <c r="E137" i="26"/>
  <c r="D137" i="26"/>
  <c r="C137" i="26"/>
  <c r="E135" i="26"/>
  <c r="D135" i="26"/>
  <c r="C135" i="26"/>
  <c r="E132" i="26"/>
  <c r="D132" i="26"/>
  <c r="C132" i="26"/>
  <c r="E125" i="26"/>
  <c r="E139" i="26" s="1"/>
  <c r="D125" i="26"/>
  <c r="D139" i="26" s="1"/>
  <c r="C125" i="26"/>
  <c r="C139" i="26" s="1"/>
  <c r="E123" i="26"/>
  <c r="D123" i="26"/>
  <c r="C123" i="26"/>
  <c r="E122" i="26"/>
  <c r="D122" i="26"/>
  <c r="C122" i="26"/>
  <c r="E120" i="26"/>
  <c r="D120" i="26"/>
  <c r="C120" i="26"/>
  <c r="E117" i="26"/>
  <c r="D117" i="26"/>
  <c r="C117" i="26"/>
  <c r="E110" i="26"/>
  <c r="E124" i="26" s="1"/>
  <c r="D110" i="26"/>
  <c r="D124" i="26" s="1"/>
  <c r="C110" i="26"/>
  <c r="C124" i="26" s="1"/>
  <c r="E108" i="26"/>
  <c r="D108" i="26"/>
  <c r="C108" i="26"/>
  <c r="E107" i="26"/>
  <c r="D107" i="26"/>
  <c r="C107" i="26"/>
  <c r="E105" i="26"/>
  <c r="D105" i="26"/>
  <c r="C105" i="26"/>
  <c r="E102" i="26"/>
  <c r="D102" i="26"/>
  <c r="C102" i="26"/>
  <c r="E95" i="26"/>
  <c r="E109" i="26" s="1"/>
  <c r="D95" i="26"/>
  <c r="D109" i="26" s="1"/>
  <c r="C95" i="26"/>
  <c r="C109" i="26" s="1"/>
  <c r="E93" i="26"/>
  <c r="D93" i="26"/>
  <c r="C93" i="26"/>
  <c r="E92" i="26"/>
  <c r="D92" i="26"/>
  <c r="C92" i="26"/>
  <c r="E90" i="26"/>
  <c r="D90" i="26"/>
  <c r="C90" i="26"/>
  <c r="E87" i="26"/>
  <c r="D87" i="26"/>
  <c r="C87" i="26"/>
  <c r="E80" i="26"/>
  <c r="E94" i="26" s="1"/>
  <c r="D80" i="26"/>
  <c r="D94" i="26" s="1"/>
  <c r="C80" i="26"/>
  <c r="C94" i="26" s="1"/>
  <c r="E78" i="26"/>
  <c r="D78" i="26"/>
  <c r="C78" i="26"/>
  <c r="E77" i="26"/>
  <c r="D77" i="26"/>
  <c r="C77" i="26"/>
  <c r="E75" i="26"/>
  <c r="D75" i="26"/>
  <c r="C75" i="26"/>
  <c r="E72" i="26"/>
  <c r="D72" i="26"/>
  <c r="C72" i="26"/>
  <c r="E65" i="26"/>
  <c r="E79" i="26" s="1"/>
  <c r="D65" i="26"/>
  <c r="D79" i="26" s="1"/>
  <c r="C65" i="26"/>
  <c r="C79" i="26" s="1"/>
  <c r="E63" i="26"/>
  <c r="D63" i="26"/>
  <c r="C63" i="26"/>
  <c r="E62" i="26"/>
  <c r="D62" i="26"/>
  <c r="C62" i="26"/>
  <c r="E60" i="26"/>
  <c r="D60" i="26"/>
  <c r="C60" i="26"/>
  <c r="E57" i="26"/>
  <c r="D57" i="26"/>
  <c r="C57" i="26"/>
  <c r="E50" i="26"/>
  <c r="E64" i="26" s="1"/>
  <c r="D50" i="26"/>
  <c r="D64" i="26" s="1"/>
  <c r="C50" i="26"/>
  <c r="C64" i="26" s="1"/>
  <c r="E33" i="26"/>
  <c r="D33" i="26"/>
  <c r="C33" i="26"/>
  <c r="E32" i="26"/>
  <c r="D32" i="26"/>
  <c r="C32" i="26"/>
  <c r="E30" i="26"/>
  <c r="D30" i="26"/>
  <c r="C30" i="26"/>
  <c r="E27" i="26"/>
  <c r="D27" i="26"/>
  <c r="C27" i="26"/>
  <c r="E20" i="26"/>
  <c r="E34" i="26" s="1"/>
  <c r="D20" i="26"/>
  <c r="D34" i="26" s="1"/>
  <c r="C20" i="26"/>
  <c r="C34" i="26" s="1"/>
  <c r="K209" i="26"/>
  <c r="K206" i="26"/>
  <c r="K205" i="26"/>
  <c r="K203" i="26"/>
  <c r="K202" i="26"/>
  <c r="K201" i="26"/>
  <c r="K198" i="26"/>
  <c r="K197" i="26"/>
  <c r="K195" i="26"/>
  <c r="K192" i="26"/>
  <c r="K185" i="26"/>
  <c r="K199" i="26" s="1"/>
  <c r="K183" i="26"/>
  <c r="K182" i="26"/>
  <c r="K180" i="26"/>
  <c r="K177" i="26"/>
  <c r="K170" i="26"/>
  <c r="K184" i="26" s="1"/>
  <c r="K168" i="26"/>
  <c r="K167" i="26"/>
  <c r="K165" i="26"/>
  <c r="K162" i="26"/>
  <c r="K155" i="26"/>
  <c r="K169" i="26" s="1"/>
  <c r="K153" i="26"/>
  <c r="K152" i="26"/>
  <c r="K150" i="26"/>
  <c r="K147" i="26"/>
  <c r="K140" i="26"/>
  <c r="K154" i="26" s="1"/>
  <c r="K138" i="26"/>
  <c r="K137" i="26"/>
  <c r="K135" i="26"/>
  <c r="K132" i="26"/>
  <c r="K125" i="26"/>
  <c r="K139" i="26" s="1"/>
  <c r="K123" i="26"/>
  <c r="K122" i="26"/>
  <c r="K120" i="26"/>
  <c r="K117" i="26"/>
  <c r="K110" i="26"/>
  <c r="K124" i="26" s="1"/>
  <c r="K108" i="26"/>
  <c r="K107" i="26"/>
  <c r="K105" i="26"/>
  <c r="K102" i="26"/>
  <c r="K95" i="26"/>
  <c r="K109" i="26" s="1"/>
  <c r="K93" i="26"/>
  <c r="K92" i="26"/>
  <c r="K90" i="26"/>
  <c r="K87" i="26"/>
  <c r="K80" i="26"/>
  <c r="K94" i="26" s="1"/>
  <c r="K78" i="26"/>
  <c r="K77" i="26"/>
  <c r="K75" i="26"/>
  <c r="K72" i="26"/>
  <c r="K65" i="26"/>
  <c r="K79" i="26" s="1"/>
  <c r="K63" i="26"/>
  <c r="K62" i="26"/>
  <c r="K60" i="26"/>
  <c r="K57" i="26"/>
  <c r="K50" i="26"/>
  <c r="K64" i="26" s="1"/>
  <c r="K48" i="26"/>
  <c r="K47" i="26"/>
  <c r="K45" i="26"/>
  <c r="K42" i="26"/>
  <c r="K35" i="26"/>
  <c r="K49" i="26" s="1"/>
  <c r="K33" i="26"/>
  <c r="K32" i="26"/>
  <c r="K30" i="26"/>
  <c r="K27" i="26"/>
  <c r="K20" i="26"/>
  <c r="K34" i="26" s="1"/>
  <c r="K209" i="31"/>
  <c r="K206" i="31"/>
  <c r="K205" i="31"/>
  <c r="K203" i="31"/>
  <c r="K202" i="31"/>
  <c r="K201" i="31"/>
  <c r="K198" i="31"/>
  <c r="K197" i="31"/>
  <c r="K195" i="31"/>
  <c r="K192" i="31"/>
  <c r="K185" i="31"/>
  <c r="K183" i="31"/>
  <c r="K182" i="31"/>
  <c r="K180" i="31"/>
  <c r="K177" i="31"/>
  <c r="K170" i="31"/>
  <c r="K184" i="31" s="1"/>
  <c r="K168" i="31"/>
  <c r="K167" i="31"/>
  <c r="K165" i="31"/>
  <c r="K162" i="31"/>
  <c r="K155" i="31"/>
  <c r="K153" i="31"/>
  <c r="K152" i="31"/>
  <c r="K150" i="31"/>
  <c r="K147" i="31"/>
  <c r="K140" i="31"/>
  <c r="K154" i="31" s="1"/>
  <c r="K138" i="31"/>
  <c r="K137" i="31"/>
  <c r="K135" i="31"/>
  <c r="K132" i="31"/>
  <c r="K125" i="31"/>
  <c r="K123" i="31"/>
  <c r="K122" i="31"/>
  <c r="K120" i="31"/>
  <c r="K117" i="31"/>
  <c r="K110" i="31"/>
  <c r="K124" i="31" s="1"/>
  <c r="K108" i="31"/>
  <c r="K107" i="31"/>
  <c r="K105" i="31"/>
  <c r="K102" i="31"/>
  <c r="K95" i="31"/>
  <c r="K93" i="31"/>
  <c r="K92" i="31"/>
  <c r="K90" i="31"/>
  <c r="K87" i="31"/>
  <c r="K80" i="31"/>
  <c r="K94" i="31" s="1"/>
  <c r="K78" i="31"/>
  <c r="K77" i="31"/>
  <c r="K75" i="31"/>
  <c r="K72" i="31"/>
  <c r="K65" i="31"/>
  <c r="K79" i="31" s="1"/>
  <c r="K63" i="31"/>
  <c r="K62" i="31"/>
  <c r="K60" i="31"/>
  <c r="K57" i="31"/>
  <c r="K50" i="31"/>
  <c r="K64" i="31" s="1"/>
  <c r="K48" i="31"/>
  <c r="K47" i="31"/>
  <c r="K45" i="31"/>
  <c r="K42" i="31"/>
  <c r="K35" i="31"/>
  <c r="K33" i="31"/>
  <c r="K32" i="31"/>
  <c r="K30" i="31"/>
  <c r="K27" i="31"/>
  <c r="K20" i="31"/>
  <c r="K34" i="31" s="1"/>
  <c r="G209" i="26"/>
  <c r="G206" i="26"/>
  <c r="G205" i="26"/>
  <c r="G203" i="26"/>
  <c r="G202" i="26"/>
  <c r="G201" i="26"/>
  <c r="G198" i="26"/>
  <c r="G197" i="26"/>
  <c r="G195" i="26"/>
  <c r="G192" i="26"/>
  <c r="G185" i="26"/>
  <c r="G199" i="26" s="1"/>
  <c r="G183" i="26"/>
  <c r="G182" i="26"/>
  <c r="G180" i="26"/>
  <c r="G177" i="26"/>
  <c r="G170" i="26"/>
  <c r="G184" i="26" s="1"/>
  <c r="G168" i="26"/>
  <c r="G167" i="26"/>
  <c r="G165" i="26"/>
  <c r="G162" i="26"/>
  <c r="G155" i="26"/>
  <c r="G169" i="26" s="1"/>
  <c r="G153" i="26"/>
  <c r="G152" i="26"/>
  <c r="G150" i="26"/>
  <c r="G147" i="26"/>
  <c r="G140" i="26"/>
  <c r="G138" i="26"/>
  <c r="G137" i="26"/>
  <c r="G135" i="26"/>
  <c r="G132" i="26"/>
  <c r="G125" i="26"/>
  <c r="G139" i="26" s="1"/>
  <c r="G123" i="26"/>
  <c r="G122" i="26"/>
  <c r="G120" i="26"/>
  <c r="G117" i="26"/>
  <c r="G110" i="26"/>
  <c r="G124" i="26" s="1"/>
  <c r="G108" i="26"/>
  <c r="G107" i="26"/>
  <c r="G105" i="26"/>
  <c r="G102" i="26"/>
  <c r="G95" i="26"/>
  <c r="G109" i="26" s="1"/>
  <c r="G93" i="26"/>
  <c r="G92" i="26"/>
  <c r="G90" i="26"/>
  <c r="G87" i="26"/>
  <c r="G80" i="26"/>
  <c r="G94" i="26" s="1"/>
  <c r="G78" i="26"/>
  <c r="G77" i="26"/>
  <c r="G75" i="26"/>
  <c r="G72" i="26"/>
  <c r="G65" i="26"/>
  <c r="G79" i="26" s="1"/>
  <c r="G63" i="26"/>
  <c r="G62" i="26"/>
  <c r="G60" i="26"/>
  <c r="G57" i="26"/>
  <c r="G50" i="26"/>
  <c r="G64" i="26" s="1"/>
  <c r="G48" i="26"/>
  <c r="G47" i="26"/>
  <c r="G45" i="26"/>
  <c r="G42" i="26"/>
  <c r="G35" i="26"/>
  <c r="G49" i="26" s="1"/>
  <c r="G33" i="26"/>
  <c r="G32" i="26"/>
  <c r="G30" i="26"/>
  <c r="G27" i="26"/>
  <c r="G20" i="26"/>
  <c r="G34" i="26" s="1"/>
  <c r="G198" i="31"/>
  <c r="E198" i="31"/>
  <c r="D198" i="31"/>
  <c r="C198" i="31"/>
  <c r="G197" i="31"/>
  <c r="E197" i="31"/>
  <c r="D197" i="31"/>
  <c r="C197" i="31"/>
  <c r="G195" i="31"/>
  <c r="E195" i="31"/>
  <c r="D195" i="31"/>
  <c r="C195" i="31"/>
  <c r="L194" i="31"/>
  <c r="H194" i="31"/>
  <c r="F194" i="31"/>
  <c r="G192" i="31"/>
  <c r="E192" i="31"/>
  <c r="D192" i="31"/>
  <c r="C192" i="31"/>
  <c r="L191" i="31"/>
  <c r="H191" i="31"/>
  <c r="F191" i="31"/>
  <c r="L190" i="31"/>
  <c r="H190" i="31"/>
  <c r="F190" i="31"/>
  <c r="L188" i="31"/>
  <c r="J188" i="31"/>
  <c r="I188" i="31"/>
  <c r="H188" i="31"/>
  <c r="F188" i="31"/>
  <c r="L187" i="31"/>
  <c r="J187" i="31"/>
  <c r="I187" i="31"/>
  <c r="H187" i="31"/>
  <c r="F187" i="31"/>
  <c r="L186" i="31"/>
  <c r="J186" i="31"/>
  <c r="I186" i="31"/>
  <c r="H186" i="31"/>
  <c r="F186" i="31"/>
  <c r="G185" i="31"/>
  <c r="G199" i="31" s="1"/>
  <c r="E185" i="31"/>
  <c r="D185" i="31"/>
  <c r="D199" i="31" s="1"/>
  <c r="C185" i="31"/>
  <c r="C199" i="31" s="1"/>
  <c r="G183" i="31"/>
  <c r="E183" i="31"/>
  <c r="D183" i="31"/>
  <c r="C183" i="31"/>
  <c r="G182" i="31"/>
  <c r="E182" i="31"/>
  <c r="D182" i="31"/>
  <c r="C182" i="31"/>
  <c r="G180" i="31"/>
  <c r="E180" i="31"/>
  <c r="D180" i="31"/>
  <c r="C180" i="31"/>
  <c r="L179" i="31"/>
  <c r="H179" i="31"/>
  <c r="F179" i="31"/>
  <c r="G177" i="31"/>
  <c r="E177" i="31"/>
  <c r="D177" i="31"/>
  <c r="C177" i="31"/>
  <c r="L176" i="31"/>
  <c r="H176" i="31"/>
  <c r="F176" i="31"/>
  <c r="L175" i="31"/>
  <c r="H175" i="31"/>
  <c r="F175" i="31"/>
  <c r="L173" i="31"/>
  <c r="J173" i="31"/>
  <c r="I173" i="31"/>
  <c r="H173" i="31"/>
  <c r="F173" i="31"/>
  <c r="L172" i="31"/>
  <c r="J172" i="31"/>
  <c r="I172" i="31"/>
  <c r="H172" i="31"/>
  <c r="F172" i="31"/>
  <c r="L171" i="31"/>
  <c r="J171" i="31"/>
  <c r="I171" i="31"/>
  <c r="H171" i="31"/>
  <c r="F171" i="31"/>
  <c r="G170" i="31"/>
  <c r="G184" i="31" s="1"/>
  <c r="E170" i="31"/>
  <c r="D170" i="31"/>
  <c r="D184" i="31" s="1"/>
  <c r="C170" i="31"/>
  <c r="C184" i="31" s="1"/>
  <c r="G168" i="31"/>
  <c r="E168" i="31"/>
  <c r="D168" i="31"/>
  <c r="C168" i="31"/>
  <c r="G167" i="31"/>
  <c r="E167" i="31"/>
  <c r="D167" i="31"/>
  <c r="C167" i="31"/>
  <c r="G165" i="31"/>
  <c r="E165" i="31"/>
  <c r="D165" i="31"/>
  <c r="C165" i="31"/>
  <c r="L164" i="31"/>
  <c r="H164" i="31"/>
  <c r="F164" i="31"/>
  <c r="G162" i="31"/>
  <c r="E162" i="31"/>
  <c r="D162" i="31"/>
  <c r="C162" i="31"/>
  <c r="L161" i="31"/>
  <c r="H161" i="31"/>
  <c r="F161" i="31"/>
  <c r="L160" i="31"/>
  <c r="H160" i="31"/>
  <c r="F160" i="31"/>
  <c r="L158" i="31"/>
  <c r="J158" i="31"/>
  <c r="I158" i="31"/>
  <c r="H158" i="31"/>
  <c r="F158" i="31"/>
  <c r="L157" i="31"/>
  <c r="J157" i="31"/>
  <c r="I157" i="31"/>
  <c r="H157" i="31"/>
  <c r="F157" i="31"/>
  <c r="L156" i="31"/>
  <c r="J156" i="31"/>
  <c r="I156" i="31"/>
  <c r="H156" i="31"/>
  <c r="F156" i="31"/>
  <c r="G155" i="31"/>
  <c r="G169" i="31" s="1"/>
  <c r="E155" i="31"/>
  <c r="D155" i="31"/>
  <c r="D169" i="31" s="1"/>
  <c r="C155" i="31"/>
  <c r="C169" i="31" s="1"/>
  <c r="G153" i="31"/>
  <c r="E153" i="31"/>
  <c r="D153" i="31"/>
  <c r="C153" i="31"/>
  <c r="G152" i="31"/>
  <c r="E152" i="31"/>
  <c r="D152" i="31"/>
  <c r="C152" i="31"/>
  <c r="G150" i="31"/>
  <c r="E150" i="31"/>
  <c r="D150" i="31"/>
  <c r="C150" i="31"/>
  <c r="L149" i="31"/>
  <c r="H149" i="31"/>
  <c r="F149" i="31"/>
  <c r="G147" i="31"/>
  <c r="E147" i="31"/>
  <c r="D147" i="31"/>
  <c r="C147" i="31"/>
  <c r="L146" i="31"/>
  <c r="H146" i="31"/>
  <c r="F146" i="31"/>
  <c r="L145" i="31"/>
  <c r="H145" i="31"/>
  <c r="F145" i="31"/>
  <c r="L143" i="31"/>
  <c r="J143" i="31"/>
  <c r="I143" i="31"/>
  <c r="H143" i="31"/>
  <c r="F143" i="31"/>
  <c r="L142" i="31"/>
  <c r="J142" i="31"/>
  <c r="I142" i="31"/>
  <c r="H142" i="31"/>
  <c r="F142" i="31"/>
  <c r="L141" i="31"/>
  <c r="J141" i="31"/>
  <c r="I141" i="31"/>
  <c r="H141" i="31"/>
  <c r="F141" i="31"/>
  <c r="G140" i="31"/>
  <c r="G154" i="31" s="1"/>
  <c r="E140" i="31"/>
  <c r="D140" i="31"/>
  <c r="D154" i="31" s="1"/>
  <c r="C140" i="31"/>
  <c r="C154" i="31" s="1"/>
  <c r="G138" i="31"/>
  <c r="E138" i="31"/>
  <c r="D138" i="31"/>
  <c r="C138" i="31"/>
  <c r="G137" i="31"/>
  <c r="E137" i="31"/>
  <c r="D137" i="31"/>
  <c r="C137" i="31"/>
  <c r="G135" i="31"/>
  <c r="E135" i="31"/>
  <c r="D135" i="31"/>
  <c r="C135" i="31"/>
  <c r="L134" i="31"/>
  <c r="H134" i="31"/>
  <c r="F134" i="31"/>
  <c r="G132" i="31"/>
  <c r="E132" i="31"/>
  <c r="D132" i="31"/>
  <c r="C132" i="31"/>
  <c r="L131" i="31"/>
  <c r="H131" i="31"/>
  <c r="F131" i="31"/>
  <c r="L130" i="31"/>
  <c r="H130" i="31"/>
  <c r="F130" i="31"/>
  <c r="L128" i="31"/>
  <c r="J128" i="31"/>
  <c r="I128" i="31"/>
  <c r="H128" i="31"/>
  <c r="F128" i="31"/>
  <c r="L127" i="31"/>
  <c r="J127" i="31"/>
  <c r="I127" i="31"/>
  <c r="H127" i="31"/>
  <c r="F127" i="31"/>
  <c r="L126" i="31"/>
  <c r="J126" i="31"/>
  <c r="I126" i="31"/>
  <c r="H126" i="31"/>
  <c r="F126" i="31"/>
  <c r="G125" i="31"/>
  <c r="G139" i="31" s="1"/>
  <c r="E125" i="31"/>
  <c r="D125" i="31"/>
  <c r="D139" i="31" s="1"/>
  <c r="C125" i="31"/>
  <c r="C139" i="31" s="1"/>
  <c r="G123" i="31"/>
  <c r="E123" i="31"/>
  <c r="D123" i="31"/>
  <c r="C123" i="31"/>
  <c r="G122" i="31"/>
  <c r="E122" i="31"/>
  <c r="D122" i="31"/>
  <c r="C122" i="31"/>
  <c r="G120" i="31"/>
  <c r="E120" i="31"/>
  <c r="D120" i="31"/>
  <c r="C120" i="31"/>
  <c r="L119" i="31"/>
  <c r="H119" i="31"/>
  <c r="F119" i="31"/>
  <c r="G117" i="31"/>
  <c r="E117" i="31"/>
  <c r="D117" i="31"/>
  <c r="C117" i="31"/>
  <c r="L116" i="31"/>
  <c r="H116" i="31"/>
  <c r="F116" i="31"/>
  <c r="L115" i="31"/>
  <c r="H115" i="31"/>
  <c r="F115" i="31"/>
  <c r="L113" i="31"/>
  <c r="J113" i="31"/>
  <c r="I113" i="31"/>
  <c r="H113" i="31"/>
  <c r="F113" i="31"/>
  <c r="L112" i="31"/>
  <c r="J112" i="31"/>
  <c r="I112" i="31"/>
  <c r="H112" i="31"/>
  <c r="F112" i="31"/>
  <c r="L111" i="31"/>
  <c r="J111" i="31"/>
  <c r="I111" i="31"/>
  <c r="H111" i="31"/>
  <c r="F111" i="31"/>
  <c r="G110" i="31"/>
  <c r="G124" i="31" s="1"/>
  <c r="E110" i="31"/>
  <c r="D110" i="31"/>
  <c r="D124" i="31" s="1"/>
  <c r="C110" i="31"/>
  <c r="C124" i="31" s="1"/>
  <c r="G108" i="31"/>
  <c r="E108" i="31"/>
  <c r="D108" i="31"/>
  <c r="C108" i="31"/>
  <c r="G107" i="31"/>
  <c r="E107" i="31"/>
  <c r="D107" i="31"/>
  <c r="C107" i="31"/>
  <c r="G105" i="31"/>
  <c r="E105" i="31"/>
  <c r="D105" i="31"/>
  <c r="C105" i="31"/>
  <c r="L104" i="31"/>
  <c r="H104" i="31"/>
  <c r="F104" i="31"/>
  <c r="G102" i="31"/>
  <c r="E102" i="31"/>
  <c r="D102" i="31"/>
  <c r="C102" i="31"/>
  <c r="L101" i="31"/>
  <c r="H101" i="31"/>
  <c r="F101" i="31"/>
  <c r="L100" i="31"/>
  <c r="H100" i="31"/>
  <c r="F100" i="31"/>
  <c r="L98" i="31"/>
  <c r="J98" i="31"/>
  <c r="I98" i="31"/>
  <c r="H98" i="31"/>
  <c r="F98" i="31"/>
  <c r="L97" i="31"/>
  <c r="J97" i="31"/>
  <c r="I97" i="31"/>
  <c r="H97" i="31"/>
  <c r="F97" i="31"/>
  <c r="L96" i="31"/>
  <c r="J96" i="31"/>
  <c r="I96" i="31"/>
  <c r="H96" i="31"/>
  <c r="F96" i="31"/>
  <c r="G95" i="31"/>
  <c r="G109" i="31" s="1"/>
  <c r="E95" i="31"/>
  <c r="D95" i="31"/>
  <c r="D109" i="31" s="1"/>
  <c r="C95" i="31"/>
  <c r="C109" i="31" s="1"/>
  <c r="G93" i="31"/>
  <c r="E93" i="31"/>
  <c r="D93" i="31"/>
  <c r="C93" i="31"/>
  <c r="G92" i="31"/>
  <c r="E92" i="31"/>
  <c r="D92" i="31"/>
  <c r="C92" i="31"/>
  <c r="G90" i="31"/>
  <c r="E90" i="31"/>
  <c r="D90" i="31"/>
  <c r="C90" i="31"/>
  <c r="L89" i="31"/>
  <c r="H89" i="31"/>
  <c r="F89" i="31"/>
  <c r="G87" i="31"/>
  <c r="E87" i="31"/>
  <c r="D87" i="31"/>
  <c r="C87" i="31"/>
  <c r="L86" i="31"/>
  <c r="H86" i="31"/>
  <c r="F86" i="31"/>
  <c r="L85" i="31"/>
  <c r="H85" i="31"/>
  <c r="F85" i="31"/>
  <c r="L83" i="31"/>
  <c r="J83" i="31"/>
  <c r="I83" i="31"/>
  <c r="H83" i="31"/>
  <c r="F83" i="31"/>
  <c r="L82" i="31"/>
  <c r="J82" i="31"/>
  <c r="I82" i="31"/>
  <c r="H82" i="31"/>
  <c r="F82" i="31"/>
  <c r="L81" i="31"/>
  <c r="J81" i="31"/>
  <c r="I81" i="31"/>
  <c r="H81" i="31"/>
  <c r="F81" i="31"/>
  <c r="G80" i="31"/>
  <c r="G94" i="31" s="1"/>
  <c r="E80" i="31"/>
  <c r="D80" i="31"/>
  <c r="D94" i="31" s="1"/>
  <c r="C80" i="31"/>
  <c r="C94" i="31" s="1"/>
  <c r="G78" i="31"/>
  <c r="E78" i="31"/>
  <c r="D78" i="31"/>
  <c r="C78" i="31"/>
  <c r="G77" i="31"/>
  <c r="E77" i="31"/>
  <c r="D77" i="31"/>
  <c r="C77" i="31"/>
  <c r="G75" i="31"/>
  <c r="E75" i="31"/>
  <c r="D75" i="31"/>
  <c r="C75" i="31"/>
  <c r="L74" i="31"/>
  <c r="H74" i="31"/>
  <c r="F74" i="31"/>
  <c r="G72" i="31"/>
  <c r="E72" i="31"/>
  <c r="D72" i="31"/>
  <c r="C72" i="31"/>
  <c r="L71" i="31"/>
  <c r="H71" i="31"/>
  <c r="F71" i="31"/>
  <c r="L70" i="31"/>
  <c r="H70" i="31"/>
  <c r="F70" i="31"/>
  <c r="L68" i="31"/>
  <c r="J68" i="31"/>
  <c r="I68" i="31"/>
  <c r="H68" i="31"/>
  <c r="F68" i="31"/>
  <c r="L67" i="31"/>
  <c r="J67" i="31"/>
  <c r="I67" i="31"/>
  <c r="H67" i="31"/>
  <c r="F67" i="31"/>
  <c r="L66" i="31"/>
  <c r="J66" i="31"/>
  <c r="I66" i="31"/>
  <c r="H66" i="31"/>
  <c r="F66" i="31"/>
  <c r="G65" i="31"/>
  <c r="G79" i="31" s="1"/>
  <c r="E65" i="31"/>
  <c r="E79" i="31" s="1"/>
  <c r="D65" i="31"/>
  <c r="D79" i="31" s="1"/>
  <c r="C65" i="31"/>
  <c r="C79" i="31" s="1"/>
  <c r="G63" i="31"/>
  <c r="E63" i="31"/>
  <c r="D63" i="31"/>
  <c r="C63" i="31"/>
  <c r="G62" i="31"/>
  <c r="E62" i="31"/>
  <c r="D62" i="31"/>
  <c r="C62" i="31"/>
  <c r="G60" i="31"/>
  <c r="E60" i="31"/>
  <c r="D60" i="31"/>
  <c r="C60" i="31"/>
  <c r="L59" i="31"/>
  <c r="H59" i="31"/>
  <c r="F59" i="31"/>
  <c r="G57" i="31"/>
  <c r="E57" i="31"/>
  <c r="D57" i="31"/>
  <c r="C57" i="31"/>
  <c r="L56" i="31"/>
  <c r="H56" i="31"/>
  <c r="F56" i="31"/>
  <c r="L55" i="31"/>
  <c r="H55" i="31"/>
  <c r="F55" i="31"/>
  <c r="L53" i="31"/>
  <c r="J53" i="31"/>
  <c r="I53" i="31"/>
  <c r="H53" i="31"/>
  <c r="F53" i="31"/>
  <c r="L52" i="31"/>
  <c r="J52" i="31"/>
  <c r="I52" i="31"/>
  <c r="H52" i="31"/>
  <c r="F52" i="31"/>
  <c r="L51" i="31"/>
  <c r="J51" i="31"/>
  <c r="I51" i="31"/>
  <c r="H51" i="31"/>
  <c r="F51" i="31"/>
  <c r="G50" i="31"/>
  <c r="G64" i="31" s="1"/>
  <c r="E50" i="31"/>
  <c r="D50" i="31"/>
  <c r="D64" i="31" s="1"/>
  <c r="C50" i="31"/>
  <c r="C64" i="31" s="1"/>
  <c r="G48" i="31"/>
  <c r="E48" i="31"/>
  <c r="D48" i="31"/>
  <c r="C48" i="31"/>
  <c r="G47" i="31"/>
  <c r="E47" i="31"/>
  <c r="D47" i="31"/>
  <c r="C47" i="31"/>
  <c r="G45" i="31"/>
  <c r="E45" i="31"/>
  <c r="D45" i="31"/>
  <c r="C45" i="31"/>
  <c r="L44" i="31"/>
  <c r="H44" i="31"/>
  <c r="F44" i="31"/>
  <c r="G42" i="31"/>
  <c r="E42" i="31"/>
  <c r="D42" i="31"/>
  <c r="C42" i="31"/>
  <c r="L41" i="31"/>
  <c r="H41" i="31"/>
  <c r="F41" i="31"/>
  <c r="L40" i="31"/>
  <c r="H40" i="31"/>
  <c r="F40" i="31"/>
  <c r="L38" i="31"/>
  <c r="J38" i="31"/>
  <c r="I38" i="31"/>
  <c r="H38" i="31"/>
  <c r="F38" i="31"/>
  <c r="L37" i="31"/>
  <c r="J37" i="31"/>
  <c r="I37" i="31"/>
  <c r="H37" i="31"/>
  <c r="F37" i="31"/>
  <c r="L36" i="31"/>
  <c r="J36" i="31"/>
  <c r="I36" i="31"/>
  <c r="H36" i="31"/>
  <c r="F36" i="31"/>
  <c r="G35" i="31"/>
  <c r="G49" i="31" s="1"/>
  <c r="E35" i="31"/>
  <c r="D35" i="31"/>
  <c r="D49" i="31" s="1"/>
  <c r="C35" i="31"/>
  <c r="C49" i="31" s="1"/>
  <c r="G33" i="31"/>
  <c r="G32" i="31"/>
  <c r="G30" i="31"/>
  <c r="G27" i="31"/>
  <c r="G20" i="31"/>
  <c r="G34" i="31" s="1"/>
  <c r="E33" i="31"/>
  <c r="E32" i="31"/>
  <c r="E30" i="31"/>
  <c r="E27" i="31"/>
  <c r="E20" i="31"/>
  <c r="E34" i="31" s="1"/>
  <c r="D33" i="31"/>
  <c r="D32" i="31"/>
  <c r="D30" i="31"/>
  <c r="D27" i="31"/>
  <c r="D20" i="31"/>
  <c r="D34" i="31" s="1"/>
  <c r="M2" i="23"/>
  <c r="M1" i="23"/>
  <c r="K125" i="23" l="1"/>
  <c r="K95" i="23"/>
  <c r="K35" i="23"/>
  <c r="K155" i="23"/>
  <c r="L153" i="31"/>
  <c r="K185" i="23"/>
  <c r="K213" i="31"/>
  <c r="I177" i="26"/>
  <c r="I154" i="26"/>
  <c r="K170" i="23"/>
  <c r="K210" i="26"/>
  <c r="K169" i="31"/>
  <c r="K139" i="31"/>
  <c r="L117" i="31"/>
  <c r="K207" i="31"/>
  <c r="K50" i="23"/>
  <c r="K49" i="31"/>
  <c r="K20" i="23"/>
  <c r="K80" i="23"/>
  <c r="K140" i="23"/>
  <c r="L152" i="31"/>
  <c r="L167" i="31"/>
  <c r="J140" i="26"/>
  <c r="K199" i="31"/>
  <c r="K213" i="26"/>
  <c r="K207" i="26"/>
  <c r="K65" i="23"/>
  <c r="I27" i="26"/>
  <c r="K110" i="23"/>
  <c r="F155" i="31"/>
  <c r="K109" i="31"/>
  <c r="K210" i="31"/>
  <c r="J80" i="31"/>
  <c r="J192" i="26"/>
  <c r="J197" i="26"/>
  <c r="J199" i="26"/>
  <c r="J198" i="26"/>
  <c r="I192" i="26"/>
  <c r="I199" i="26"/>
  <c r="I198" i="26"/>
  <c r="I197" i="26"/>
  <c r="J185" i="26"/>
  <c r="I185" i="26"/>
  <c r="J177" i="26"/>
  <c r="J184" i="26"/>
  <c r="J183" i="26"/>
  <c r="J182" i="26"/>
  <c r="I182" i="26"/>
  <c r="J170" i="26"/>
  <c r="I184" i="26"/>
  <c r="I183" i="26"/>
  <c r="I170" i="26"/>
  <c r="J162" i="26"/>
  <c r="J169" i="26"/>
  <c r="J168" i="26"/>
  <c r="J167" i="26"/>
  <c r="I162" i="26"/>
  <c r="J155" i="26"/>
  <c r="I169" i="26"/>
  <c r="I168" i="26"/>
  <c r="I167" i="26"/>
  <c r="I155" i="26"/>
  <c r="J147" i="26"/>
  <c r="J152" i="26"/>
  <c r="G154" i="26"/>
  <c r="J154" i="26" s="1"/>
  <c r="J153" i="26"/>
  <c r="I147" i="26"/>
  <c r="I153" i="26"/>
  <c r="I152" i="26"/>
  <c r="I140" i="26"/>
  <c r="J132" i="26"/>
  <c r="J137" i="26"/>
  <c r="J139" i="26"/>
  <c r="J138" i="26"/>
  <c r="I132" i="26"/>
  <c r="I139" i="26"/>
  <c r="I138" i="26"/>
  <c r="I137" i="26"/>
  <c r="J125" i="26"/>
  <c r="I125" i="26"/>
  <c r="J117" i="26"/>
  <c r="J124" i="26"/>
  <c r="J123" i="26"/>
  <c r="J122" i="26"/>
  <c r="I117" i="26"/>
  <c r="I122" i="26"/>
  <c r="J110" i="26"/>
  <c r="I124" i="26"/>
  <c r="I123" i="26"/>
  <c r="I110" i="26"/>
  <c r="J109" i="26"/>
  <c r="J102" i="26"/>
  <c r="J108" i="26"/>
  <c r="J107" i="26"/>
  <c r="J95" i="26"/>
  <c r="I102" i="26"/>
  <c r="I109" i="26"/>
  <c r="I108" i="26"/>
  <c r="I107" i="26"/>
  <c r="I95" i="26"/>
  <c r="J87" i="26"/>
  <c r="J94" i="26"/>
  <c r="J93" i="26"/>
  <c r="J92" i="26"/>
  <c r="I87" i="26"/>
  <c r="I94" i="26"/>
  <c r="I93" i="26"/>
  <c r="J80" i="26"/>
  <c r="I92" i="26"/>
  <c r="I80" i="26"/>
  <c r="J72" i="26"/>
  <c r="J65" i="26"/>
  <c r="J79" i="26"/>
  <c r="J78" i="26"/>
  <c r="J77" i="26"/>
  <c r="I77" i="26"/>
  <c r="I72" i="26"/>
  <c r="I79" i="26"/>
  <c r="I78" i="26"/>
  <c r="I65" i="26"/>
  <c r="J57" i="26"/>
  <c r="J64" i="26"/>
  <c r="J63" i="26"/>
  <c r="J62" i="26"/>
  <c r="I57" i="26"/>
  <c r="I62" i="26"/>
  <c r="J50" i="26"/>
  <c r="I64" i="26"/>
  <c r="I63" i="26"/>
  <c r="I50" i="26"/>
  <c r="G210" i="26"/>
  <c r="J27" i="26"/>
  <c r="G213" i="26"/>
  <c r="G207" i="26"/>
  <c r="J32" i="26"/>
  <c r="J34" i="26"/>
  <c r="J33" i="26"/>
  <c r="J198" i="31"/>
  <c r="I197" i="31"/>
  <c r="J183" i="31"/>
  <c r="J162" i="31"/>
  <c r="I162" i="31"/>
  <c r="F168" i="31"/>
  <c r="F150" i="31"/>
  <c r="J138" i="31"/>
  <c r="H110" i="31"/>
  <c r="H122" i="31"/>
  <c r="I123" i="31"/>
  <c r="H105" i="31"/>
  <c r="H77" i="31"/>
  <c r="I33" i="26"/>
  <c r="I34" i="26"/>
  <c r="I20" i="26"/>
  <c r="J20" i="26"/>
  <c r="I32" i="26"/>
  <c r="K200" i="26"/>
  <c r="K214" i="26" s="1"/>
  <c r="K212" i="26"/>
  <c r="L177" i="31"/>
  <c r="K200" i="31"/>
  <c r="K214" i="31" s="1"/>
  <c r="K212" i="31"/>
  <c r="L110" i="31"/>
  <c r="L192" i="31"/>
  <c r="G200" i="26"/>
  <c r="G214" i="26" s="1"/>
  <c r="G212" i="26"/>
  <c r="J34" i="31"/>
  <c r="L90" i="31"/>
  <c r="I93" i="31"/>
  <c r="F95" i="31"/>
  <c r="L137" i="31"/>
  <c r="I167" i="31"/>
  <c r="L50" i="31"/>
  <c r="L105" i="31"/>
  <c r="I108" i="31"/>
  <c r="F120" i="31"/>
  <c r="J125" i="31"/>
  <c r="L140" i="31"/>
  <c r="I192" i="31"/>
  <c r="F110" i="31"/>
  <c r="F48" i="31"/>
  <c r="L132" i="31"/>
  <c r="H135" i="31"/>
  <c r="L170" i="31"/>
  <c r="F63" i="31"/>
  <c r="L107" i="31"/>
  <c r="L123" i="31"/>
  <c r="L57" i="31"/>
  <c r="L48" i="31"/>
  <c r="H75" i="31"/>
  <c r="H195" i="31"/>
  <c r="J185" i="31"/>
  <c r="H165" i="31"/>
  <c r="F125" i="31"/>
  <c r="F132" i="31"/>
  <c r="F123" i="31"/>
  <c r="L122" i="31"/>
  <c r="J108" i="31"/>
  <c r="F102" i="31"/>
  <c r="H92" i="31"/>
  <c r="F80" i="31"/>
  <c r="L65" i="31"/>
  <c r="L75" i="31"/>
  <c r="F78" i="31"/>
  <c r="L35" i="31"/>
  <c r="L87" i="31"/>
  <c r="H95" i="31"/>
  <c r="F192" i="31"/>
  <c r="L102" i="31"/>
  <c r="F177" i="31"/>
  <c r="H182" i="31"/>
  <c r="L45" i="31"/>
  <c r="H150" i="31"/>
  <c r="J192" i="31"/>
  <c r="F35" i="31"/>
  <c r="H93" i="31"/>
  <c r="F140" i="31"/>
  <c r="I177" i="31"/>
  <c r="I182" i="31"/>
  <c r="L185" i="31"/>
  <c r="H48" i="31"/>
  <c r="L162" i="31"/>
  <c r="J177" i="31"/>
  <c r="H180" i="31"/>
  <c r="F198" i="31"/>
  <c r="H47" i="31"/>
  <c r="I57" i="31"/>
  <c r="L72" i="31"/>
  <c r="F162" i="31"/>
  <c r="I183" i="31"/>
  <c r="J35" i="31"/>
  <c r="L63" i="31"/>
  <c r="F65" i="31"/>
  <c r="L95" i="31"/>
  <c r="H197" i="31"/>
  <c r="F72" i="31"/>
  <c r="J78" i="31"/>
  <c r="F87" i="31"/>
  <c r="J102" i="31"/>
  <c r="I107" i="31"/>
  <c r="I122" i="31"/>
  <c r="J123" i="31"/>
  <c r="L125" i="31"/>
  <c r="J132" i="31"/>
  <c r="I137" i="31"/>
  <c r="H152" i="31"/>
  <c r="I50" i="31"/>
  <c r="J63" i="31"/>
  <c r="J72" i="31"/>
  <c r="I77" i="31"/>
  <c r="L80" i="31"/>
  <c r="J87" i="31"/>
  <c r="H90" i="31"/>
  <c r="J92" i="31"/>
  <c r="I102" i="31"/>
  <c r="J107" i="31"/>
  <c r="H120" i="31"/>
  <c r="J122" i="31"/>
  <c r="I132" i="31"/>
  <c r="J137" i="31"/>
  <c r="I152" i="31"/>
  <c r="L182" i="31"/>
  <c r="L197" i="31"/>
  <c r="I72" i="31"/>
  <c r="J77" i="31"/>
  <c r="L120" i="31"/>
  <c r="I170" i="31"/>
  <c r="I35" i="31"/>
  <c r="H62" i="31"/>
  <c r="L135" i="31"/>
  <c r="J140" i="31"/>
  <c r="L155" i="31"/>
  <c r="I168" i="31"/>
  <c r="H185" i="31"/>
  <c r="L42" i="31"/>
  <c r="I48" i="31"/>
  <c r="L77" i="31"/>
  <c r="J155" i="31"/>
  <c r="F183" i="31"/>
  <c r="J42" i="31"/>
  <c r="H45" i="31"/>
  <c r="J47" i="31"/>
  <c r="J48" i="31"/>
  <c r="F50" i="31"/>
  <c r="F57" i="31"/>
  <c r="I87" i="31"/>
  <c r="I92" i="31"/>
  <c r="F93" i="31"/>
  <c r="F122" i="31"/>
  <c r="J153" i="31"/>
  <c r="F170" i="31"/>
  <c r="F185" i="31"/>
  <c r="I42" i="31"/>
  <c r="L47" i="31"/>
  <c r="H60" i="31"/>
  <c r="H107" i="31"/>
  <c r="F108" i="31"/>
  <c r="H137" i="31"/>
  <c r="F138" i="31"/>
  <c r="L147" i="31"/>
  <c r="L150" i="31"/>
  <c r="F152" i="31"/>
  <c r="F153" i="31"/>
  <c r="H167" i="31"/>
  <c r="J168" i="31"/>
  <c r="H177" i="31"/>
  <c r="H192" i="31"/>
  <c r="E199" i="31"/>
  <c r="L195" i="31"/>
  <c r="J197" i="31"/>
  <c r="H198" i="31"/>
  <c r="I198" i="31"/>
  <c r="I185" i="31"/>
  <c r="F195" i="31"/>
  <c r="F197" i="31"/>
  <c r="L198" i="31"/>
  <c r="L180" i="31"/>
  <c r="J182" i="31"/>
  <c r="H183" i="31"/>
  <c r="E184" i="31"/>
  <c r="J170" i="31"/>
  <c r="F180" i="31"/>
  <c r="F182" i="31"/>
  <c r="L183" i="31"/>
  <c r="H170" i="31"/>
  <c r="E169" i="31"/>
  <c r="L165" i="31"/>
  <c r="J167" i="31"/>
  <c r="H168" i="31"/>
  <c r="H162" i="31"/>
  <c r="H155" i="31"/>
  <c r="I155" i="31"/>
  <c r="F165" i="31"/>
  <c r="F167" i="31"/>
  <c r="L168" i="31"/>
  <c r="E154" i="31"/>
  <c r="J152" i="31"/>
  <c r="H153" i="31"/>
  <c r="F147" i="31"/>
  <c r="H147" i="31"/>
  <c r="I153" i="31"/>
  <c r="H140" i="31"/>
  <c r="I147" i="31"/>
  <c r="I140" i="31"/>
  <c r="J147" i="31"/>
  <c r="E139" i="31"/>
  <c r="H138" i="31"/>
  <c r="H132" i="31"/>
  <c r="I138" i="31"/>
  <c r="I125" i="31"/>
  <c r="H125" i="31"/>
  <c r="F135" i="31"/>
  <c r="F137" i="31"/>
  <c r="L138" i="31"/>
  <c r="H123" i="31"/>
  <c r="H117" i="31"/>
  <c r="E124" i="31"/>
  <c r="I110" i="31"/>
  <c r="J117" i="31"/>
  <c r="I117" i="31"/>
  <c r="J110" i="31"/>
  <c r="F117" i="31"/>
  <c r="H108" i="31"/>
  <c r="H102" i="31"/>
  <c r="I95" i="31"/>
  <c r="E109" i="31"/>
  <c r="J95" i="31"/>
  <c r="F105" i="31"/>
  <c r="F107" i="31"/>
  <c r="L108" i="31"/>
  <c r="E94" i="31"/>
  <c r="H87" i="31"/>
  <c r="H80" i="31"/>
  <c r="L92" i="31"/>
  <c r="J93" i="31"/>
  <c r="I80" i="31"/>
  <c r="F90" i="31"/>
  <c r="F92" i="31"/>
  <c r="L93" i="31"/>
  <c r="L79" i="31"/>
  <c r="J79" i="31"/>
  <c r="H79" i="31"/>
  <c r="I79" i="31"/>
  <c r="F79" i="31"/>
  <c r="H78" i="31"/>
  <c r="H72" i="31"/>
  <c r="I78" i="31"/>
  <c r="I65" i="31"/>
  <c r="J65" i="31"/>
  <c r="F75" i="31"/>
  <c r="F77" i="31"/>
  <c r="L78" i="31"/>
  <c r="H65" i="31"/>
  <c r="I62" i="31"/>
  <c r="E64" i="31"/>
  <c r="L60" i="31"/>
  <c r="J62" i="31"/>
  <c r="H63" i="31"/>
  <c r="H57" i="31"/>
  <c r="I63" i="31"/>
  <c r="J50" i="31"/>
  <c r="F60" i="31"/>
  <c r="F62" i="31"/>
  <c r="H50" i="31"/>
  <c r="L62" i="31"/>
  <c r="J57" i="31"/>
  <c r="H42" i="31"/>
  <c r="H35" i="31"/>
  <c r="F42" i="31"/>
  <c r="I47" i="31"/>
  <c r="E49" i="31"/>
  <c r="F45" i="31"/>
  <c r="F47" i="31"/>
  <c r="L199" i="31" l="1"/>
  <c r="J199" i="31"/>
  <c r="I199" i="31"/>
  <c r="H199" i="31"/>
  <c r="F199" i="31"/>
  <c r="L184" i="31"/>
  <c r="H184" i="31"/>
  <c r="J184" i="31"/>
  <c r="I184" i="31"/>
  <c r="F184" i="31"/>
  <c r="L169" i="31"/>
  <c r="J169" i="31"/>
  <c r="I169" i="31"/>
  <c r="H169" i="31"/>
  <c r="F169" i="31"/>
  <c r="J154" i="31"/>
  <c r="L154" i="31"/>
  <c r="I154" i="31"/>
  <c r="H154" i="31"/>
  <c r="F154" i="31"/>
  <c r="L139" i="31"/>
  <c r="J139" i="31"/>
  <c r="I139" i="31"/>
  <c r="H139" i="31"/>
  <c r="F139" i="31"/>
  <c r="J124" i="31"/>
  <c r="I124" i="31"/>
  <c r="H124" i="31"/>
  <c r="L124" i="31"/>
  <c r="F124" i="31"/>
  <c r="L109" i="31"/>
  <c r="J109" i="31"/>
  <c r="I109" i="31"/>
  <c r="H109" i="31"/>
  <c r="F109" i="31"/>
  <c r="L94" i="31"/>
  <c r="J94" i="31"/>
  <c r="I94" i="31"/>
  <c r="H94" i="31"/>
  <c r="F94" i="31"/>
  <c r="L64" i="31"/>
  <c r="H64" i="31"/>
  <c r="J64" i="31"/>
  <c r="I64" i="31"/>
  <c r="F64" i="31"/>
  <c r="L49" i="31"/>
  <c r="H49" i="31"/>
  <c r="F49" i="31"/>
  <c r="J49" i="31"/>
  <c r="I49" i="31"/>
  <c r="K34" i="23"/>
  <c r="K32" i="23"/>
  <c r="K27" i="23"/>
  <c r="K49" i="23"/>
  <c r="K47" i="23"/>
  <c r="K42" i="23"/>
  <c r="K48" i="23"/>
  <c r="K63" i="23"/>
  <c r="K57" i="23"/>
  <c r="K60" i="23"/>
  <c r="K62" i="23"/>
  <c r="K64" i="23"/>
  <c r="K78" i="23"/>
  <c r="K72" i="23"/>
  <c r="K75" i="23"/>
  <c r="K77" i="23"/>
  <c r="K79" i="23"/>
  <c r="K94" i="23"/>
  <c r="K87" i="23"/>
  <c r="K93" i="23"/>
  <c r="K107" i="23"/>
  <c r="K105" i="23"/>
  <c r="K109" i="23"/>
  <c r="K124" i="23"/>
  <c r="K122" i="23"/>
  <c r="K123" i="23"/>
  <c r="K120" i="23"/>
  <c r="K139" i="23"/>
  <c r="K138" i="23"/>
  <c r="K135" i="23"/>
  <c r="K137" i="23"/>
  <c r="K153" i="23"/>
  <c r="K147" i="23"/>
  <c r="K150" i="23"/>
  <c r="K152" i="23"/>
  <c r="K154" i="23"/>
  <c r="K169" i="23"/>
  <c r="K167" i="23"/>
  <c r="K162" i="23"/>
  <c r="K165" i="23"/>
  <c r="K180" i="23"/>
  <c r="K182" i="23"/>
  <c r="K184" i="23"/>
  <c r="K192" i="23"/>
  <c r="K195" i="23"/>
  <c r="K197" i="23"/>
  <c r="K199" i="23"/>
  <c r="K198" i="23" l="1"/>
  <c r="K108" i="23"/>
  <c r="K90" i="23"/>
  <c r="K33" i="23"/>
  <c r="K168" i="23"/>
  <c r="K102" i="23"/>
  <c r="K30" i="23"/>
  <c r="K177" i="23"/>
  <c r="K117" i="23"/>
  <c r="K45" i="23"/>
  <c r="K132" i="23"/>
  <c r="K183" i="23"/>
  <c r="K92" i="23"/>
  <c r="K209" i="23" l="1"/>
  <c r="K205" i="23"/>
  <c r="K203" i="23"/>
  <c r="K202" i="23"/>
  <c r="K201" i="23" l="1"/>
  <c r="K206" i="23"/>
  <c r="K207" i="23" s="1"/>
  <c r="K213" i="23" l="1"/>
  <c r="K212" i="23"/>
  <c r="K200" i="23"/>
  <c r="K214" i="23" s="1"/>
  <c r="K210" i="23"/>
  <c r="G36" i="23" l="1"/>
  <c r="L21" i="31" l="1"/>
  <c r="E194" i="23" l="1"/>
  <c r="D194" i="23"/>
  <c r="C194" i="23"/>
  <c r="E191" i="23"/>
  <c r="D191" i="23"/>
  <c r="C191" i="23"/>
  <c r="E190" i="23"/>
  <c r="D190" i="23"/>
  <c r="C190" i="23"/>
  <c r="E188" i="23"/>
  <c r="D188" i="23"/>
  <c r="C188" i="23"/>
  <c r="E187" i="23"/>
  <c r="D187" i="23"/>
  <c r="C187" i="23"/>
  <c r="E186" i="23"/>
  <c r="D186" i="23"/>
  <c r="C186" i="23"/>
  <c r="E179" i="23"/>
  <c r="D179" i="23"/>
  <c r="C179" i="23"/>
  <c r="E176" i="23"/>
  <c r="D176" i="23"/>
  <c r="C176" i="23"/>
  <c r="E175" i="23"/>
  <c r="D175" i="23"/>
  <c r="C175" i="23"/>
  <c r="E173" i="23"/>
  <c r="D173" i="23"/>
  <c r="C173" i="23"/>
  <c r="E172" i="23"/>
  <c r="D172" i="23"/>
  <c r="C172" i="23"/>
  <c r="E171" i="23"/>
  <c r="D171" i="23"/>
  <c r="C171" i="23"/>
  <c r="E164" i="23"/>
  <c r="D164" i="23"/>
  <c r="C164" i="23"/>
  <c r="E161" i="23"/>
  <c r="D161" i="23"/>
  <c r="C161" i="23"/>
  <c r="E160" i="23"/>
  <c r="D160" i="23"/>
  <c r="C160" i="23"/>
  <c r="E158" i="23"/>
  <c r="D158" i="23"/>
  <c r="C158" i="23"/>
  <c r="E157" i="23"/>
  <c r="D157" i="23"/>
  <c r="C157" i="23"/>
  <c r="E156" i="23"/>
  <c r="D156" i="23"/>
  <c r="C156" i="23"/>
  <c r="E149" i="23"/>
  <c r="D149" i="23"/>
  <c r="C149" i="23"/>
  <c r="E146" i="23"/>
  <c r="D146" i="23"/>
  <c r="C146" i="23"/>
  <c r="E145" i="23"/>
  <c r="D145" i="23"/>
  <c r="C145" i="23"/>
  <c r="E143" i="23"/>
  <c r="D143" i="23"/>
  <c r="C143" i="23"/>
  <c r="E142" i="23"/>
  <c r="D142" i="23"/>
  <c r="C142" i="23"/>
  <c r="E141" i="23"/>
  <c r="D141" i="23"/>
  <c r="C141" i="23"/>
  <c r="E134" i="23"/>
  <c r="D134" i="23"/>
  <c r="C134" i="23"/>
  <c r="E131" i="23"/>
  <c r="D131" i="23"/>
  <c r="C131" i="23"/>
  <c r="E130" i="23"/>
  <c r="D130" i="23"/>
  <c r="C130" i="23"/>
  <c r="E128" i="23"/>
  <c r="D128" i="23"/>
  <c r="C128" i="23"/>
  <c r="E127" i="23"/>
  <c r="D127" i="23"/>
  <c r="C127" i="23"/>
  <c r="E126" i="23"/>
  <c r="D126" i="23"/>
  <c r="C126" i="23"/>
  <c r="E119" i="23"/>
  <c r="D119" i="23"/>
  <c r="C119" i="23"/>
  <c r="E116" i="23"/>
  <c r="D116" i="23"/>
  <c r="C116" i="23"/>
  <c r="E115" i="23"/>
  <c r="D115" i="23"/>
  <c r="C115" i="23"/>
  <c r="E113" i="23"/>
  <c r="D113" i="23"/>
  <c r="C113" i="23"/>
  <c r="E112" i="23"/>
  <c r="D112" i="23"/>
  <c r="C112" i="23"/>
  <c r="E111" i="23"/>
  <c r="D111" i="23"/>
  <c r="C111" i="23"/>
  <c r="E104" i="23"/>
  <c r="D104" i="23"/>
  <c r="C104" i="23"/>
  <c r="E101" i="23"/>
  <c r="D101" i="23"/>
  <c r="C101" i="23"/>
  <c r="E100" i="23"/>
  <c r="D100" i="23"/>
  <c r="C100" i="23"/>
  <c r="E98" i="23"/>
  <c r="D98" i="23"/>
  <c r="C98" i="23"/>
  <c r="E97" i="23"/>
  <c r="D97" i="23"/>
  <c r="C97" i="23"/>
  <c r="E96" i="23"/>
  <c r="D96" i="23"/>
  <c r="C96" i="23"/>
  <c r="E89" i="23"/>
  <c r="D89" i="23"/>
  <c r="C89" i="23"/>
  <c r="E86" i="23"/>
  <c r="D86" i="23"/>
  <c r="C86" i="23"/>
  <c r="E85" i="23"/>
  <c r="D85" i="23"/>
  <c r="C85" i="23"/>
  <c r="E83" i="23"/>
  <c r="D83" i="23"/>
  <c r="C83" i="23"/>
  <c r="E82" i="23"/>
  <c r="D82" i="23"/>
  <c r="C82" i="23"/>
  <c r="E81" i="23"/>
  <c r="D81" i="23"/>
  <c r="C81" i="23"/>
  <c r="E74" i="23"/>
  <c r="D74" i="23"/>
  <c r="C74" i="23"/>
  <c r="E71" i="23"/>
  <c r="D71" i="23"/>
  <c r="C71" i="23"/>
  <c r="E70" i="23"/>
  <c r="D70" i="23"/>
  <c r="C70" i="23"/>
  <c r="E68" i="23"/>
  <c r="D68" i="23"/>
  <c r="C68" i="23"/>
  <c r="E67" i="23"/>
  <c r="D67" i="23"/>
  <c r="C67" i="23"/>
  <c r="E66" i="23"/>
  <c r="D66" i="23"/>
  <c r="C66" i="23"/>
  <c r="E59" i="23"/>
  <c r="D59" i="23"/>
  <c r="C59" i="23"/>
  <c r="E56" i="23"/>
  <c r="D56" i="23"/>
  <c r="C56" i="23"/>
  <c r="E55" i="23"/>
  <c r="D55" i="23"/>
  <c r="C55" i="23"/>
  <c r="E53" i="23"/>
  <c r="D53" i="23"/>
  <c r="C53" i="23"/>
  <c r="E52" i="23"/>
  <c r="D52" i="23"/>
  <c r="C52" i="23"/>
  <c r="E51" i="23"/>
  <c r="D51" i="23"/>
  <c r="C51" i="23"/>
  <c r="E44" i="23"/>
  <c r="D44" i="23"/>
  <c r="C44" i="23"/>
  <c r="E41" i="23"/>
  <c r="D41" i="23"/>
  <c r="C41" i="23"/>
  <c r="E40" i="23"/>
  <c r="D40" i="23"/>
  <c r="C40" i="23"/>
  <c r="E38" i="23"/>
  <c r="D38" i="23"/>
  <c r="C38" i="23"/>
  <c r="E37" i="23"/>
  <c r="D37" i="23"/>
  <c r="C37" i="23"/>
  <c r="E36" i="23"/>
  <c r="D36" i="23"/>
  <c r="C36" i="23"/>
  <c r="E29" i="23"/>
  <c r="D29" i="23"/>
  <c r="C29" i="23"/>
  <c r="E26" i="23"/>
  <c r="D26" i="23"/>
  <c r="C26" i="23"/>
  <c r="E25" i="23"/>
  <c r="D25" i="23"/>
  <c r="C25" i="23"/>
  <c r="E23" i="23"/>
  <c r="D23" i="23"/>
  <c r="C23" i="23"/>
  <c r="E22" i="23"/>
  <c r="D22" i="23"/>
  <c r="C22" i="23"/>
  <c r="E21" i="23"/>
  <c r="D21" i="23"/>
  <c r="C21" i="23"/>
  <c r="G194" i="23"/>
  <c r="G191" i="23"/>
  <c r="G190" i="23"/>
  <c r="G188" i="23"/>
  <c r="G187" i="23"/>
  <c r="G186" i="23"/>
  <c r="G179" i="23"/>
  <c r="G176" i="23"/>
  <c r="G175" i="23"/>
  <c r="G173" i="23"/>
  <c r="G172" i="23"/>
  <c r="G171" i="23"/>
  <c r="G164" i="23"/>
  <c r="G161" i="23"/>
  <c r="G160" i="23"/>
  <c r="G158" i="23"/>
  <c r="G157" i="23"/>
  <c r="G156" i="23"/>
  <c r="G149" i="23"/>
  <c r="G146" i="23"/>
  <c r="G145" i="23"/>
  <c r="G143" i="23"/>
  <c r="G142" i="23"/>
  <c r="G141" i="23"/>
  <c r="G134" i="23"/>
  <c r="G131" i="23"/>
  <c r="G130" i="23"/>
  <c r="G128" i="23"/>
  <c r="G127" i="23"/>
  <c r="G126" i="23"/>
  <c r="G119" i="23"/>
  <c r="G116" i="23"/>
  <c r="G115" i="23"/>
  <c r="G113" i="23"/>
  <c r="G112" i="23"/>
  <c r="G111" i="23"/>
  <c r="G104" i="23"/>
  <c r="G101" i="23"/>
  <c r="G100" i="23"/>
  <c r="G98" i="23"/>
  <c r="G97" i="23"/>
  <c r="G96" i="23"/>
  <c r="G89" i="23"/>
  <c r="G86" i="23"/>
  <c r="G85" i="23"/>
  <c r="G83" i="23"/>
  <c r="G82" i="23"/>
  <c r="G81" i="23"/>
  <c r="G74" i="23"/>
  <c r="G71" i="23"/>
  <c r="G70" i="23"/>
  <c r="G68" i="23"/>
  <c r="G67" i="23"/>
  <c r="G66" i="23"/>
  <c r="G59" i="23"/>
  <c r="G56" i="23"/>
  <c r="G55" i="23"/>
  <c r="G53" i="23"/>
  <c r="G52" i="23"/>
  <c r="G51" i="23"/>
  <c r="G44" i="23"/>
  <c r="G41" i="23"/>
  <c r="G40" i="23"/>
  <c r="G38" i="23"/>
  <c r="G37" i="23"/>
  <c r="G29" i="23"/>
  <c r="G26" i="23"/>
  <c r="G25" i="23"/>
  <c r="G23" i="23"/>
  <c r="G22" i="23"/>
  <c r="G21" i="23"/>
  <c r="F194" i="23" l="1"/>
  <c r="L83" i="23"/>
  <c r="I83" i="23"/>
  <c r="F83" i="23"/>
  <c r="J83" i="23"/>
  <c r="L126" i="23"/>
  <c r="F126" i="23"/>
  <c r="I126" i="23"/>
  <c r="J126" i="23"/>
  <c r="L143" i="23"/>
  <c r="I143" i="23"/>
  <c r="F143" i="23"/>
  <c r="J143" i="23"/>
  <c r="L161" i="23"/>
  <c r="F161" i="23"/>
  <c r="F186" i="23"/>
  <c r="J186" i="23"/>
  <c r="I186" i="23"/>
  <c r="L29" i="23"/>
  <c r="F29" i="23"/>
  <c r="L52" i="23"/>
  <c r="J52" i="23"/>
  <c r="F52" i="23"/>
  <c r="I52" i="23"/>
  <c r="L70" i="23"/>
  <c r="F70" i="23"/>
  <c r="L89" i="23"/>
  <c r="F89" i="23"/>
  <c r="L112" i="23"/>
  <c r="J112" i="23"/>
  <c r="F112" i="23"/>
  <c r="I112" i="23"/>
  <c r="L130" i="23"/>
  <c r="F130" i="23"/>
  <c r="L149" i="23"/>
  <c r="F149" i="23"/>
  <c r="L172" i="23"/>
  <c r="J172" i="23"/>
  <c r="F172" i="23"/>
  <c r="I172" i="23"/>
  <c r="F190" i="23"/>
  <c r="L55" i="23"/>
  <c r="F55" i="23"/>
  <c r="L98" i="23"/>
  <c r="I98" i="23"/>
  <c r="F98" i="23"/>
  <c r="J98" i="23"/>
  <c r="L25" i="23"/>
  <c r="F25" i="23"/>
  <c r="L44" i="23"/>
  <c r="F44" i="23"/>
  <c r="L67" i="23"/>
  <c r="J67" i="23"/>
  <c r="I67" i="23"/>
  <c r="F67" i="23"/>
  <c r="L85" i="23"/>
  <c r="F85" i="23"/>
  <c r="L104" i="23"/>
  <c r="F104" i="23"/>
  <c r="L127" i="23"/>
  <c r="F127" i="23"/>
  <c r="J127" i="23"/>
  <c r="I127" i="23"/>
  <c r="L145" i="23"/>
  <c r="F145" i="23"/>
  <c r="L164" i="23"/>
  <c r="F164" i="23"/>
  <c r="F187" i="23"/>
  <c r="J187" i="23"/>
  <c r="I187" i="23"/>
  <c r="L37" i="23"/>
  <c r="J37" i="23"/>
  <c r="I37" i="23"/>
  <c r="F37" i="23"/>
  <c r="L23" i="23"/>
  <c r="F23" i="23"/>
  <c r="I23" i="23"/>
  <c r="J23" i="23"/>
  <c r="L101" i="23"/>
  <c r="F101" i="23"/>
  <c r="L176" i="23"/>
  <c r="F176" i="23"/>
  <c r="L36" i="23"/>
  <c r="J36" i="23"/>
  <c r="I36" i="23"/>
  <c r="F36" i="23"/>
  <c r="L53" i="23"/>
  <c r="I53" i="23"/>
  <c r="F53" i="23"/>
  <c r="J53" i="23"/>
  <c r="L71" i="23"/>
  <c r="F71" i="23"/>
  <c r="L96" i="23"/>
  <c r="F96" i="23"/>
  <c r="I96" i="23"/>
  <c r="J96" i="23"/>
  <c r="L113" i="23"/>
  <c r="I113" i="23"/>
  <c r="F113" i="23"/>
  <c r="J113" i="23"/>
  <c r="L131" i="23"/>
  <c r="F131" i="23"/>
  <c r="L156" i="23"/>
  <c r="F156" i="23"/>
  <c r="J156" i="23"/>
  <c r="I156" i="23"/>
  <c r="L173" i="23"/>
  <c r="I173" i="23"/>
  <c r="F173" i="23"/>
  <c r="J173" i="23"/>
  <c r="F191" i="23"/>
  <c r="L74" i="23"/>
  <c r="F74" i="23"/>
  <c r="L41" i="23"/>
  <c r="F41" i="23"/>
  <c r="L21" i="23"/>
  <c r="I21" i="23"/>
  <c r="F21" i="23"/>
  <c r="J21" i="23"/>
  <c r="L116" i="23"/>
  <c r="F116" i="23"/>
  <c r="L158" i="23"/>
  <c r="I158" i="23"/>
  <c r="F158" i="23"/>
  <c r="J158" i="23"/>
  <c r="L22" i="23"/>
  <c r="F22" i="23"/>
  <c r="J22" i="23"/>
  <c r="I22" i="23"/>
  <c r="L40" i="23"/>
  <c r="F40" i="23"/>
  <c r="L59" i="23"/>
  <c r="F59" i="23"/>
  <c r="L82" i="23"/>
  <c r="J82" i="23"/>
  <c r="I82" i="23"/>
  <c r="F82" i="23"/>
  <c r="L100" i="23"/>
  <c r="F100" i="23"/>
  <c r="L119" i="23"/>
  <c r="F119" i="23"/>
  <c r="L142" i="23"/>
  <c r="J142" i="23"/>
  <c r="I142" i="23"/>
  <c r="F142" i="23"/>
  <c r="L160" i="23"/>
  <c r="F160" i="23"/>
  <c r="L179" i="23"/>
  <c r="F179" i="23"/>
  <c r="L66" i="23"/>
  <c r="J66" i="23"/>
  <c r="I66" i="23"/>
  <c r="F66" i="23"/>
  <c r="L38" i="23"/>
  <c r="I38" i="23"/>
  <c r="F38" i="23"/>
  <c r="J38" i="23"/>
  <c r="L56" i="23"/>
  <c r="F56" i="23"/>
  <c r="L81" i="23"/>
  <c r="I81" i="23"/>
  <c r="F81" i="23"/>
  <c r="J81" i="23"/>
  <c r="L141" i="23"/>
  <c r="J141" i="23"/>
  <c r="I141" i="23"/>
  <c r="F141" i="23"/>
  <c r="L26" i="23"/>
  <c r="F26" i="23"/>
  <c r="L51" i="23"/>
  <c r="I51" i="23"/>
  <c r="J51" i="23"/>
  <c r="F51" i="23"/>
  <c r="L68" i="23"/>
  <c r="I68" i="23"/>
  <c r="F68" i="23"/>
  <c r="J68" i="23"/>
  <c r="L86" i="23"/>
  <c r="F86" i="23"/>
  <c r="L111" i="23"/>
  <c r="J111" i="23"/>
  <c r="I111" i="23"/>
  <c r="F111" i="23"/>
  <c r="L128" i="23"/>
  <c r="I128" i="23"/>
  <c r="F128" i="23"/>
  <c r="J128" i="23"/>
  <c r="L146" i="23"/>
  <c r="F146" i="23"/>
  <c r="L171" i="23"/>
  <c r="J171" i="23"/>
  <c r="I171" i="23"/>
  <c r="F171" i="23"/>
  <c r="I188" i="23"/>
  <c r="F188" i="23"/>
  <c r="J188" i="23"/>
  <c r="L97" i="23"/>
  <c r="J97" i="23"/>
  <c r="I97" i="23"/>
  <c r="F97" i="23"/>
  <c r="L115" i="23"/>
  <c r="F115" i="23"/>
  <c r="L134" i="23"/>
  <c r="F134" i="23"/>
  <c r="L157" i="23"/>
  <c r="F157" i="23"/>
  <c r="J157" i="23"/>
  <c r="I157" i="23"/>
  <c r="L175" i="23"/>
  <c r="F175" i="23"/>
  <c r="G167" i="23"/>
  <c r="G45" i="23"/>
  <c r="G185" i="23"/>
  <c r="G199" i="23" s="1"/>
  <c r="G192" i="23"/>
  <c r="G165" i="23"/>
  <c r="C105" i="23"/>
  <c r="C62" i="23"/>
  <c r="D150" i="23"/>
  <c r="D140" i="23"/>
  <c r="D154" i="23" s="1"/>
  <c r="D120" i="23"/>
  <c r="D92" i="23"/>
  <c r="C75" i="23"/>
  <c r="D48" i="23"/>
  <c r="C27" i="23"/>
  <c r="D198" i="23"/>
  <c r="D192" i="23"/>
  <c r="C195" i="23"/>
  <c r="C185" i="23"/>
  <c r="C199" i="23" s="1"/>
  <c r="C183" i="23"/>
  <c r="C177" i="23"/>
  <c r="E162" i="23"/>
  <c r="C153" i="23"/>
  <c r="C147" i="23"/>
  <c r="D135" i="23"/>
  <c r="C135" i="23"/>
  <c r="C120" i="23"/>
  <c r="D105" i="23"/>
  <c r="C95" i="23"/>
  <c r="C109" i="23" s="1"/>
  <c r="D87" i="23"/>
  <c r="C90" i="23"/>
  <c r="C93" i="23"/>
  <c r="C87" i="23"/>
  <c r="D75" i="23"/>
  <c r="D78" i="23"/>
  <c r="D72" i="23"/>
  <c r="C78" i="23"/>
  <c r="C72" i="23"/>
  <c r="D60" i="23"/>
  <c r="C60" i="23"/>
  <c r="E45" i="23"/>
  <c r="E30" i="23"/>
  <c r="E33" i="23"/>
  <c r="D30" i="23"/>
  <c r="C32" i="23"/>
  <c r="G137" i="23"/>
  <c r="G140" i="23"/>
  <c r="G154" i="23" s="1"/>
  <c r="G63" i="23"/>
  <c r="G60" i="23"/>
  <c r="G120" i="23"/>
  <c r="G132" i="23"/>
  <c r="G93" i="23"/>
  <c r="G48" i="23"/>
  <c r="G108" i="23"/>
  <c r="G123" i="23"/>
  <c r="G50" i="23"/>
  <c r="G64" i="23" s="1"/>
  <c r="G125" i="23"/>
  <c r="G139" i="23" s="1"/>
  <c r="C57" i="23"/>
  <c r="E78" i="23"/>
  <c r="E72" i="23"/>
  <c r="D90" i="23"/>
  <c r="C123" i="23"/>
  <c r="C117" i="23"/>
  <c r="D183" i="23"/>
  <c r="D177" i="23"/>
  <c r="D195" i="23"/>
  <c r="G72" i="23"/>
  <c r="G102" i="23"/>
  <c r="D63" i="23"/>
  <c r="D57" i="23"/>
  <c r="E90" i="23"/>
  <c r="D123" i="23"/>
  <c r="D117" i="23"/>
  <c r="E135" i="23"/>
  <c r="C168" i="23"/>
  <c r="C162" i="23"/>
  <c r="E182" i="23"/>
  <c r="C48" i="23"/>
  <c r="C42" i="23"/>
  <c r="E63" i="23"/>
  <c r="E57" i="23"/>
  <c r="E123" i="23"/>
  <c r="E117" i="23"/>
  <c r="D168" i="23"/>
  <c r="D162" i="23"/>
  <c r="C180" i="23"/>
  <c r="G135" i="23"/>
  <c r="G162" i="23"/>
  <c r="D42" i="23"/>
  <c r="E75" i="23"/>
  <c r="E153" i="23"/>
  <c r="E167" i="23"/>
  <c r="D180" i="23"/>
  <c r="E195" i="23"/>
  <c r="E47" i="23"/>
  <c r="G110" i="23"/>
  <c r="G124" i="23" s="1"/>
  <c r="G168" i="23"/>
  <c r="D33" i="23"/>
  <c r="D27" i="23"/>
  <c r="E42" i="23"/>
  <c r="E60" i="23"/>
  <c r="C108" i="23"/>
  <c r="C102" i="23"/>
  <c r="E120" i="23"/>
  <c r="D153" i="23"/>
  <c r="D147" i="23"/>
  <c r="C165" i="23"/>
  <c r="E180" i="23"/>
  <c r="E137" i="23"/>
  <c r="G183" i="23"/>
  <c r="E32" i="23"/>
  <c r="C45" i="23"/>
  <c r="C80" i="23"/>
  <c r="C94" i="23" s="1"/>
  <c r="D108" i="23"/>
  <c r="D102" i="23"/>
  <c r="E138" i="23"/>
  <c r="E152" i="23"/>
  <c r="D165" i="23"/>
  <c r="G57" i="23"/>
  <c r="G87" i="23"/>
  <c r="E27" i="23"/>
  <c r="D45" i="23"/>
  <c r="C65" i="23"/>
  <c r="C79" i="23" s="1"/>
  <c r="E108" i="23"/>
  <c r="E102" i="23"/>
  <c r="C138" i="23"/>
  <c r="C132" i="23"/>
  <c r="C150" i="23"/>
  <c r="E165" i="23"/>
  <c r="E192" i="23"/>
  <c r="E150" i="23"/>
  <c r="G117" i="23"/>
  <c r="C30" i="23"/>
  <c r="D65" i="23"/>
  <c r="D79" i="23" s="1"/>
  <c r="D138" i="23"/>
  <c r="D132" i="23"/>
  <c r="E168" i="23"/>
  <c r="C198" i="23"/>
  <c r="C192" i="23"/>
  <c r="G150" i="23"/>
  <c r="G177" i="23"/>
  <c r="E48" i="23"/>
  <c r="E93" i="23"/>
  <c r="E87" i="23"/>
  <c r="E105" i="23"/>
  <c r="E183" i="23"/>
  <c r="E197" i="23"/>
  <c r="D185" i="23"/>
  <c r="D199" i="23" s="1"/>
  <c r="C197" i="23"/>
  <c r="D197" i="23"/>
  <c r="E198" i="23"/>
  <c r="C170" i="23"/>
  <c r="C184" i="23" s="1"/>
  <c r="D170" i="23"/>
  <c r="D184" i="23" s="1"/>
  <c r="C182" i="23"/>
  <c r="D182" i="23"/>
  <c r="E177" i="23"/>
  <c r="C155" i="23"/>
  <c r="C169" i="23" s="1"/>
  <c r="D155" i="23"/>
  <c r="D169" i="23" s="1"/>
  <c r="C167" i="23"/>
  <c r="D167" i="23"/>
  <c r="C140" i="23"/>
  <c r="C154" i="23" s="1"/>
  <c r="C152" i="23"/>
  <c r="D152" i="23"/>
  <c r="E147" i="23"/>
  <c r="C125" i="23"/>
  <c r="C139" i="23" s="1"/>
  <c r="D125" i="23"/>
  <c r="D139" i="23" s="1"/>
  <c r="C137" i="23"/>
  <c r="D137" i="23"/>
  <c r="E132" i="23"/>
  <c r="C110" i="23"/>
  <c r="C124" i="23" s="1"/>
  <c r="D110" i="23"/>
  <c r="D124" i="23" s="1"/>
  <c r="C122" i="23"/>
  <c r="D122" i="23"/>
  <c r="E122" i="23"/>
  <c r="D95" i="23"/>
  <c r="D109" i="23" s="1"/>
  <c r="C107" i="23"/>
  <c r="D107" i="23"/>
  <c r="E107" i="23"/>
  <c r="D80" i="23"/>
  <c r="D94" i="23" s="1"/>
  <c r="C92" i="23"/>
  <c r="E92" i="23"/>
  <c r="D93" i="23"/>
  <c r="C77" i="23"/>
  <c r="D77" i="23"/>
  <c r="E77" i="23"/>
  <c r="C50" i="23"/>
  <c r="C64" i="23" s="1"/>
  <c r="D50" i="23"/>
  <c r="D64" i="23" s="1"/>
  <c r="D62" i="23"/>
  <c r="E62" i="23"/>
  <c r="C63" i="23"/>
  <c r="C35" i="23"/>
  <c r="C49" i="23" s="1"/>
  <c r="D35" i="23"/>
  <c r="D49" i="23" s="1"/>
  <c r="C47" i="23"/>
  <c r="D47" i="23"/>
  <c r="C20" i="23"/>
  <c r="C34" i="23" s="1"/>
  <c r="D20" i="23"/>
  <c r="D34" i="23" s="1"/>
  <c r="C33" i="23"/>
  <c r="D32" i="23"/>
  <c r="G20" i="23"/>
  <c r="G34" i="23" s="1"/>
  <c r="G78" i="23"/>
  <c r="G62" i="23"/>
  <c r="G47" i="23"/>
  <c r="G95" i="23"/>
  <c r="G109" i="23" s="1"/>
  <c r="G147" i="23"/>
  <c r="G170" i="23"/>
  <c r="G184" i="23" s="1"/>
  <c r="G195" i="23"/>
  <c r="G197" i="23"/>
  <c r="G30" i="23"/>
  <c r="G75" i="23"/>
  <c r="G198" i="23"/>
  <c r="G27" i="23"/>
  <c r="G32" i="23"/>
  <c r="G105" i="23"/>
  <c r="G35" i="23"/>
  <c r="G49" i="23" s="1"/>
  <c r="G107" i="23"/>
  <c r="G155" i="23"/>
  <c r="G169" i="23" s="1"/>
  <c r="G138" i="23"/>
  <c r="G180" i="23"/>
  <c r="G42" i="23"/>
  <c r="G90" i="23"/>
  <c r="G153" i="23"/>
  <c r="G182" i="23"/>
  <c r="G152" i="23"/>
  <c r="G122" i="23"/>
  <c r="G80" i="23"/>
  <c r="G94" i="23" s="1"/>
  <c r="G92" i="23"/>
  <c r="G65" i="23"/>
  <c r="G79" i="23" s="1"/>
  <c r="G77" i="23"/>
  <c r="G33" i="23"/>
  <c r="L170" i="23" l="1"/>
  <c r="L95" i="23"/>
  <c r="L155" i="23"/>
  <c r="L50" i="23"/>
  <c r="L125" i="23"/>
  <c r="L80" i="23"/>
  <c r="F170" i="23"/>
  <c r="L20" i="23"/>
  <c r="L140" i="23"/>
  <c r="L65" i="23"/>
  <c r="F20" i="23"/>
  <c r="F35" i="23"/>
  <c r="L110" i="23"/>
  <c r="L35" i="23"/>
  <c r="F65" i="23"/>
  <c r="L137" i="23"/>
  <c r="I137" i="23"/>
  <c r="F137" i="23"/>
  <c r="J137" i="23"/>
  <c r="L147" i="23"/>
  <c r="F147" i="23"/>
  <c r="J147" i="23"/>
  <c r="I147" i="23"/>
  <c r="L177" i="23"/>
  <c r="F177" i="23"/>
  <c r="J177" i="23"/>
  <c r="I177" i="23"/>
  <c r="L108" i="23"/>
  <c r="J108" i="23"/>
  <c r="I108" i="23"/>
  <c r="F108" i="23"/>
  <c r="L138" i="23"/>
  <c r="F138" i="23"/>
  <c r="J138" i="23"/>
  <c r="I138" i="23"/>
  <c r="L180" i="23"/>
  <c r="F180" i="23"/>
  <c r="L42" i="23"/>
  <c r="F42" i="23"/>
  <c r="J42" i="23"/>
  <c r="I42" i="23"/>
  <c r="L167" i="23"/>
  <c r="F167" i="23"/>
  <c r="J167" i="23"/>
  <c r="I167" i="23"/>
  <c r="L72" i="23"/>
  <c r="F72" i="23"/>
  <c r="J72" i="23"/>
  <c r="I72" i="23"/>
  <c r="F155" i="23"/>
  <c r="F185" i="23"/>
  <c r="L62" i="23"/>
  <c r="J62" i="23"/>
  <c r="F62" i="23"/>
  <c r="I62" i="23"/>
  <c r="L152" i="23"/>
  <c r="J152" i="23"/>
  <c r="I152" i="23"/>
  <c r="F152" i="23"/>
  <c r="J197" i="23"/>
  <c r="F197" i="23"/>
  <c r="I197" i="23"/>
  <c r="L150" i="23"/>
  <c r="F150" i="23"/>
  <c r="L153" i="23"/>
  <c r="F153" i="23"/>
  <c r="J153" i="23"/>
  <c r="I153" i="23"/>
  <c r="L117" i="23"/>
  <c r="F117" i="23"/>
  <c r="J117" i="23"/>
  <c r="I117" i="23"/>
  <c r="L78" i="23"/>
  <c r="J78" i="23"/>
  <c r="I78" i="23"/>
  <c r="F78" i="23"/>
  <c r="L33" i="23"/>
  <c r="F33" i="23"/>
  <c r="J33" i="23"/>
  <c r="I33" i="23"/>
  <c r="F140" i="23"/>
  <c r="F110" i="23"/>
  <c r="F125" i="23"/>
  <c r="L107" i="23"/>
  <c r="F107" i="23"/>
  <c r="J107" i="23"/>
  <c r="I107" i="23"/>
  <c r="L183" i="23"/>
  <c r="J183" i="23"/>
  <c r="I183" i="23"/>
  <c r="F183" i="23"/>
  <c r="F192" i="23"/>
  <c r="J192" i="23"/>
  <c r="I192" i="23"/>
  <c r="L75" i="23"/>
  <c r="F75" i="23"/>
  <c r="L123" i="23"/>
  <c r="J123" i="23"/>
  <c r="F123" i="23"/>
  <c r="I123" i="23"/>
  <c r="L135" i="23"/>
  <c r="F135" i="23"/>
  <c r="L30" i="23"/>
  <c r="F30" i="23"/>
  <c r="F95" i="23"/>
  <c r="L92" i="23"/>
  <c r="J92" i="23"/>
  <c r="F92" i="23"/>
  <c r="I92" i="23"/>
  <c r="L102" i="23"/>
  <c r="F102" i="23"/>
  <c r="J102" i="23"/>
  <c r="I102" i="23"/>
  <c r="L77" i="23"/>
  <c r="J77" i="23"/>
  <c r="I77" i="23"/>
  <c r="F77" i="23"/>
  <c r="L105" i="23"/>
  <c r="F105" i="23"/>
  <c r="L168" i="23"/>
  <c r="F168" i="23"/>
  <c r="J168" i="23"/>
  <c r="I168" i="23"/>
  <c r="L27" i="23"/>
  <c r="F27" i="23"/>
  <c r="J27" i="23"/>
  <c r="I27" i="23"/>
  <c r="L45" i="23"/>
  <c r="F45" i="23"/>
  <c r="F50" i="23"/>
  <c r="L60" i="23"/>
  <c r="F60" i="23"/>
  <c r="L132" i="23"/>
  <c r="F132" i="23"/>
  <c r="J132" i="23"/>
  <c r="I132" i="23"/>
  <c r="L165" i="23"/>
  <c r="F165" i="23"/>
  <c r="L57" i="23"/>
  <c r="J57" i="23"/>
  <c r="F57" i="23"/>
  <c r="I57" i="23"/>
  <c r="L87" i="23"/>
  <c r="J87" i="23"/>
  <c r="I87" i="23"/>
  <c r="F87" i="23"/>
  <c r="L120" i="23"/>
  <c r="F120" i="23"/>
  <c r="L63" i="23"/>
  <c r="J63" i="23"/>
  <c r="F63" i="23"/>
  <c r="I63" i="23"/>
  <c r="L182" i="23"/>
  <c r="J182" i="23"/>
  <c r="I182" i="23"/>
  <c r="F182" i="23"/>
  <c r="L93" i="23"/>
  <c r="J93" i="23"/>
  <c r="F93" i="23"/>
  <c r="I93" i="23"/>
  <c r="L32" i="23"/>
  <c r="J32" i="23"/>
  <c r="F32" i="23"/>
  <c r="I32" i="23"/>
  <c r="L47" i="23"/>
  <c r="J47" i="23"/>
  <c r="I47" i="23"/>
  <c r="F47" i="23"/>
  <c r="F198" i="23"/>
  <c r="J198" i="23"/>
  <c r="I198" i="23"/>
  <c r="L90" i="23"/>
  <c r="F90" i="23"/>
  <c r="L122" i="23"/>
  <c r="J122" i="23"/>
  <c r="I122" i="23"/>
  <c r="F122" i="23"/>
  <c r="L48" i="23"/>
  <c r="J48" i="23"/>
  <c r="I48" i="23"/>
  <c r="F48" i="23"/>
  <c r="F195" i="23"/>
  <c r="L162" i="23"/>
  <c r="F162" i="23"/>
  <c r="J162" i="23"/>
  <c r="I162" i="23"/>
  <c r="F80" i="23"/>
  <c r="E209" i="26"/>
  <c r="J209" i="26" s="1"/>
  <c r="D209" i="26"/>
  <c r="C209" i="26"/>
  <c r="E206" i="26"/>
  <c r="D206" i="26"/>
  <c r="C206" i="26"/>
  <c r="E205" i="26"/>
  <c r="D205" i="26"/>
  <c r="C205" i="26"/>
  <c r="E203" i="26"/>
  <c r="J203" i="26" s="1"/>
  <c r="D203" i="26"/>
  <c r="C203" i="26"/>
  <c r="E202" i="26"/>
  <c r="J202" i="26" s="1"/>
  <c r="D202" i="26"/>
  <c r="C202" i="26"/>
  <c r="E201" i="26"/>
  <c r="D201" i="26"/>
  <c r="C201" i="26"/>
  <c r="H198" i="26"/>
  <c r="L195" i="26"/>
  <c r="H194" i="26"/>
  <c r="F194" i="26"/>
  <c r="L192" i="26"/>
  <c r="H191" i="26"/>
  <c r="F191" i="26"/>
  <c r="H190" i="26"/>
  <c r="F190" i="26"/>
  <c r="H188" i="26"/>
  <c r="F188" i="26"/>
  <c r="H187" i="26"/>
  <c r="F187" i="26"/>
  <c r="H186" i="26"/>
  <c r="F186" i="26"/>
  <c r="H183" i="26"/>
  <c r="H182" i="26"/>
  <c r="H180" i="26"/>
  <c r="H179" i="26"/>
  <c r="F179" i="26"/>
  <c r="H176" i="26"/>
  <c r="F176" i="26"/>
  <c r="H175" i="26"/>
  <c r="F175" i="26"/>
  <c r="H173" i="26"/>
  <c r="F173" i="26"/>
  <c r="H172" i="26"/>
  <c r="F172" i="26"/>
  <c r="H171" i="26"/>
  <c r="F171" i="26"/>
  <c r="H167" i="26"/>
  <c r="H164" i="26"/>
  <c r="F164" i="26"/>
  <c r="H161" i="26"/>
  <c r="F161" i="26"/>
  <c r="H160" i="26"/>
  <c r="F160" i="26"/>
  <c r="H158" i="26"/>
  <c r="F158" i="26"/>
  <c r="H157" i="26"/>
  <c r="F157" i="26"/>
  <c r="H156" i="26"/>
  <c r="F156" i="26"/>
  <c r="H155" i="26"/>
  <c r="H153" i="26"/>
  <c r="H149" i="26"/>
  <c r="F149" i="26"/>
  <c r="L147" i="26"/>
  <c r="H146" i="26"/>
  <c r="F146" i="26"/>
  <c r="H145" i="26"/>
  <c r="F145" i="26"/>
  <c r="H143" i="26"/>
  <c r="F143" i="26"/>
  <c r="H142" i="26"/>
  <c r="F142" i="26"/>
  <c r="H141" i="26"/>
  <c r="F141" i="26"/>
  <c r="H138" i="26"/>
  <c r="H137" i="26"/>
  <c r="H135" i="26"/>
  <c r="H134" i="26"/>
  <c r="F134" i="26"/>
  <c r="H131" i="26"/>
  <c r="F131" i="26"/>
  <c r="H130" i="26"/>
  <c r="F130" i="26"/>
  <c r="H128" i="26"/>
  <c r="F128" i="26"/>
  <c r="H127" i="26"/>
  <c r="F127" i="26"/>
  <c r="H126" i="26"/>
  <c r="F126" i="26"/>
  <c r="H122" i="26"/>
  <c r="L120" i="26"/>
  <c r="H119" i="26"/>
  <c r="F119" i="26"/>
  <c r="L117" i="26"/>
  <c r="H116" i="26"/>
  <c r="F116" i="26"/>
  <c r="H115" i="26"/>
  <c r="F115" i="26"/>
  <c r="H113" i="26"/>
  <c r="F113" i="26"/>
  <c r="H112" i="26"/>
  <c r="F112" i="26"/>
  <c r="H111" i="26"/>
  <c r="F111" i="26"/>
  <c r="H110" i="26"/>
  <c r="H108" i="26"/>
  <c r="H105" i="26"/>
  <c r="H104" i="26"/>
  <c r="F104" i="26"/>
  <c r="H102" i="26"/>
  <c r="H101" i="26"/>
  <c r="F101" i="26"/>
  <c r="H100" i="26"/>
  <c r="F100" i="26"/>
  <c r="H98" i="26"/>
  <c r="F98" i="26"/>
  <c r="H97" i="26"/>
  <c r="F97" i="26"/>
  <c r="H96" i="26"/>
  <c r="F96" i="26"/>
  <c r="H93" i="26"/>
  <c r="H92" i="26"/>
  <c r="H90" i="26"/>
  <c r="H89" i="26"/>
  <c r="F89" i="26"/>
  <c r="H86" i="26"/>
  <c r="F86" i="26"/>
  <c r="H85" i="26"/>
  <c r="F85" i="26"/>
  <c r="H83" i="26"/>
  <c r="F83" i="26"/>
  <c r="H82" i="26"/>
  <c r="F82" i="26"/>
  <c r="H81" i="26"/>
  <c r="F81" i="26"/>
  <c r="H77" i="26"/>
  <c r="H74" i="26"/>
  <c r="F74" i="26"/>
  <c r="H71" i="26"/>
  <c r="F71" i="26"/>
  <c r="H70" i="26"/>
  <c r="F70" i="26"/>
  <c r="H68" i="26"/>
  <c r="F68" i="26"/>
  <c r="H67" i="26"/>
  <c r="F67" i="26"/>
  <c r="H66" i="26"/>
  <c r="F66" i="26"/>
  <c r="H65" i="26"/>
  <c r="H63" i="26"/>
  <c r="L60" i="26"/>
  <c r="H59" i="26"/>
  <c r="F59" i="26"/>
  <c r="H57" i="26"/>
  <c r="H56" i="26"/>
  <c r="F56" i="26"/>
  <c r="H55" i="26"/>
  <c r="F55" i="26"/>
  <c r="H53" i="26"/>
  <c r="F53" i="26"/>
  <c r="H52" i="26"/>
  <c r="F52" i="26"/>
  <c r="H51" i="26"/>
  <c r="F51" i="26"/>
  <c r="E48" i="26"/>
  <c r="D48" i="26"/>
  <c r="C48" i="26"/>
  <c r="E47" i="26"/>
  <c r="D47" i="26"/>
  <c r="C47" i="26"/>
  <c r="E45" i="26"/>
  <c r="H45" i="26" s="1"/>
  <c r="D45" i="26"/>
  <c r="C45" i="26"/>
  <c r="H44" i="26"/>
  <c r="F44" i="26"/>
  <c r="E42" i="26"/>
  <c r="J42" i="26" s="1"/>
  <c r="D42" i="26"/>
  <c r="C42" i="26"/>
  <c r="H41" i="26"/>
  <c r="F41" i="26"/>
  <c r="H40" i="26"/>
  <c r="F40" i="26"/>
  <c r="H38" i="26"/>
  <c r="F38" i="26"/>
  <c r="H37" i="26"/>
  <c r="F37" i="26"/>
  <c r="H36" i="26"/>
  <c r="F36" i="26"/>
  <c r="E35" i="26"/>
  <c r="J35" i="26" s="1"/>
  <c r="D35" i="26"/>
  <c r="D49" i="26" s="1"/>
  <c r="C35" i="26"/>
  <c r="H32" i="26"/>
  <c r="H29" i="26"/>
  <c r="F29" i="26"/>
  <c r="H26" i="26"/>
  <c r="F26" i="26"/>
  <c r="H25" i="26"/>
  <c r="F25" i="26"/>
  <c r="H23" i="26"/>
  <c r="F23" i="26"/>
  <c r="H22" i="26"/>
  <c r="F22" i="26"/>
  <c r="H21" i="26"/>
  <c r="F21" i="26"/>
  <c r="H20" i="26"/>
  <c r="L194" i="26"/>
  <c r="L191" i="26"/>
  <c r="L190" i="26"/>
  <c r="L188" i="26"/>
  <c r="L187" i="26"/>
  <c r="L186" i="26"/>
  <c r="L179" i="26"/>
  <c r="L176" i="26"/>
  <c r="L175" i="26"/>
  <c r="L173" i="26"/>
  <c r="L172" i="26"/>
  <c r="L171" i="26"/>
  <c r="L164" i="26"/>
  <c r="L161" i="26"/>
  <c r="L160" i="26"/>
  <c r="L158" i="26"/>
  <c r="L157" i="26"/>
  <c r="L156" i="26"/>
  <c r="L150" i="26"/>
  <c r="L149" i="26"/>
  <c r="L146" i="26"/>
  <c r="L145" i="26"/>
  <c r="L143" i="26"/>
  <c r="L142" i="26"/>
  <c r="L141" i="26"/>
  <c r="L134" i="26"/>
  <c r="L131" i="26"/>
  <c r="L130" i="26"/>
  <c r="L128" i="26"/>
  <c r="L127" i="26"/>
  <c r="L126" i="26"/>
  <c r="L119" i="26"/>
  <c r="L116" i="26"/>
  <c r="L115" i="26"/>
  <c r="L113" i="26"/>
  <c r="L112" i="26"/>
  <c r="L111" i="26"/>
  <c r="L104" i="26"/>
  <c r="L101" i="26"/>
  <c r="L100" i="26"/>
  <c r="L98" i="26"/>
  <c r="L97" i="26"/>
  <c r="L96" i="26"/>
  <c r="L89" i="26"/>
  <c r="L86" i="26"/>
  <c r="L85" i="26"/>
  <c r="L83" i="26"/>
  <c r="L82" i="26"/>
  <c r="L81" i="26"/>
  <c r="L74" i="26"/>
  <c r="L71" i="26"/>
  <c r="L70" i="26"/>
  <c r="L68" i="26"/>
  <c r="L67" i="26"/>
  <c r="L66" i="26"/>
  <c r="L59" i="26"/>
  <c r="L56" i="26"/>
  <c r="L55" i="26"/>
  <c r="L53" i="26"/>
  <c r="L52" i="26"/>
  <c r="L51" i="26"/>
  <c r="L44" i="26"/>
  <c r="L41" i="26"/>
  <c r="L40" i="26"/>
  <c r="L38" i="26"/>
  <c r="L37" i="26"/>
  <c r="L36" i="26"/>
  <c r="L29" i="26"/>
  <c r="L26" i="26"/>
  <c r="L25" i="26"/>
  <c r="L23" i="26"/>
  <c r="L22" i="26"/>
  <c r="L21" i="26"/>
  <c r="G209" i="31"/>
  <c r="E209" i="31"/>
  <c r="D209" i="31"/>
  <c r="C209" i="31"/>
  <c r="G206" i="31"/>
  <c r="E206" i="31"/>
  <c r="D206" i="31"/>
  <c r="C206" i="31"/>
  <c r="G205" i="31"/>
  <c r="E205" i="31"/>
  <c r="D205" i="31"/>
  <c r="C205" i="31"/>
  <c r="G203" i="31"/>
  <c r="E203" i="31"/>
  <c r="D203" i="31"/>
  <c r="C203" i="31"/>
  <c r="G202" i="31"/>
  <c r="E202" i="31"/>
  <c r="D202" i="31"/>
  <c r="C202" i="31"/>
  <c r="G201" i="31"/>
  <c r="E201" i="31"/>
  <c r="D201" i="31"/>
  <c r="C201" i="31"/>
  <c r="H33" i="31"/>
  <c r="C33" i="31"/>
  <c r="J32" i="31"/>
  <c r="C32" i="31"/>
  <c r="H30" i="31"/>
  <c r="C30" i="31"/>
  <c r="L29" i="31"/>
  <c r="H29" i="31"/>
  <c r="F29" i="31"/>
  <c r="L27" i="31"/>
  <c r="C27" i="31"/>
  <c r="L26" i="31"/>
  <c r="H26" i="31"/>
  <c r="F26" i="31"/>
  <c r="L25" i="31"/>
  <c r="H25" i="31"/>
  <c r="F25" i="31"/>
  <c r="L23" i="31"/>
  <c r="J23" i="31"/>
  <c r="I23" i="31"/>
  <c r="H23" i="31"/>
  <c r="F23" i="31"/>
  <c r="L22" i="31"/>
  <c r="J22" i="31"/>
  <c r="I22" i="31"/>
  <c r="H22" i="31"/>
  <c r="F22" i="31"/>
  <c r="J21" i="31"/>
  <c r="I21" i="31"/>
  <c r="H21" i="31"/>
  <c r="F21" i="31"/>
  <c r="C20" i="31"/>
  <c r="C34" i="31" s="1"/>
  <c r="I34" i="31" s="1"/>
  <c r="F110" i="26" l="1"/>
  <c r="I48" i="26"/>
  <c r="I42" i="26"/>
  <c r="H47" i="26"/>
  <c r="J47" i="26"/>
  <c r="I47" i="26"/>
  <c r="H48" i="26"/>
  <c r="J48" i="26"/>
  <c r="C49" i="26"/>
  <c r="I35" i="26"/>
  <c r="I209" i="26"/>
  <c r="I203" i="26"/>
  <c r="I202" i="26"/>
  <c r="J201" i="26"/>
  <c r="I201" i="26"/>
  <c r="F140" i="26"/>
  <c r="F20" i="26"/>
  <c r="F170" i="26"/>
  <c r="F65" i="26"/>
  <c r="F185" i="26"/>
  <c r="L20" i="26"/>
  <c r="D210" i="26"/>
  <c r="F155" i="26"/>
  <c r="G207" i="31"/>
  <c r="G213" i="31"/>
  <c r="E213" i="26"/>
  <c r="J213" i="26" s="1"/>
  <c r="L205" i="26"/>
  <c r="L198" i="26"/>
  <c r="H206" i="31"/>
  <c r="G210" i="31"/>
  <c r="H184" i="26"/>
  <c r="F150" i="26"/>
  <c r="F147" i="26"/>
  <c r="F117" i="26"/>
  <c r="L42" i="26"/>
  <c r="F50" i="26"/>
  <c r="F95" i="26"/>
  <c r="J202" i="31"/>
  <c r="H209" i="31"/>
  <c r="H205" i="31"/>
  <c r="J203" i="31"/>
  <c r="G212" i="31"/>
  <c r="G200" i="31"/>
  <c r="G214" i="31" s="1"/>
  <c r="H139" i="26"/>
  <c r="L20" i="31"/>
  <c r="F195" i="26"/>
  <c r="F192" i="26"/>
  <c r="H169" i="26"/>
  <c r="H150" i="26"/>
  <c r="L138" i="26"/>
  <c r="H95" i="26"/>
  <c r="H60" i="26"/>
  <c r="L57" i="26"/>
  <c r="F60" i="26"/>
  <c r="E49" i="26"/>
  <c r="L48" i="26"/>
  <c r="L27" i="26"/>
  <c r="H34" i="26"/>
  <c r="J209" i="31"/>
  <c r="F27" i="31"/>
  <c r="J27" i="31"/>
  <c r="H27" i="31"/>
  <c r="L205" i="31"/>
  <c r="I33" i="31"/>
  <c r="J33" i="31"/>
  <c r="D213" i="31"/>
  <c r="D207" i="31"/>
  <c r="C210" i="31"/>
  <c r="F20" i="31"/>
  <c r="L201" i="31"/>
  <c r="L170" i="26"/>
  <c r="H195" i="26"/>
  <c r="L199" i="26"/>
  <c r="F199" i="26"/>
  <c r="L183" i="26"/>
  <c r="L165" i="26"/>
  <c r="L162" i="26"/>
  <c r="F165" i="26"/>
  <c r="F162" i="26"/>
  <c r="L153" i="26"/>
  <c r="L154" i="26"/>
  <c r="F125" i="26"/>
  <c r="H124" i="26"/>
  <c r="F120" i="26"/>
  <c r="L105" i="26"/>
  <c r="L102" i="26"/>
  <c r="L108" i="26"/>
  <c r="L109" i="26"/>
  <c r="F105" i="26"/>
  <c r="F102" i="26"/>
  <c r="F92" i="26"/>
  <c r="L93" i="26"/>
  <c r="H94" i="26"/>
  <c r="F80" i="26"/>
  <c r="L75" i="26"/>
  <c r="L72" i="26"/>
  <c r="F79" i="26"/>
  <c r="F75" i="26"/>
  <c r="F72" i="26"/>
  <c r="H50" i="26"/>
  <c r="L203" i="26"/>
  <c r="L64" i="26"/>
  <c r="F57" i="26"/>
  <c r="F63" i="26"/>
  <c r="F35" i="26"/>
  <c r="C207" i="26"/>
  <c r="C213" i="26"/>
  <c r="F47" i="26"/>
  <c r="E210" i="26"/>
  <c r="L30" i="26"/>
  <c r="E207" i="26"/>
  <c r="J207" i="26" s="1"/>
  <c r="H205" i="26"/>
  <c r="E200" i="26"/>
  <c r="D213" i="26"/>
  <c r="D207" i="26"/>
  <c r="D200" i="26"/>
  <c r="D214" i="26" s="1"/>
  <c r="D212" i="26"/>
  <c r="F30" i="26"/>
  <c r="C210" i="26"/>
  <c r="F27" i="26"/>
  <c r="F205" i="26"/>
  <c r="C200" i="26"/>
  <c r="C214" i="26" s="1"/>
  <c r="F201" i="26"/>
  <c r="F203" i="26"/>
  <c r="C212" i="26"/>
  <c r="G205" i="23"/>
  <c r="G202" i="23"/>
  <c r="G209" i="23"/>
  <c r="G206" i="23"/>
  <c r="G203" i="23"/>
  <c r="G201" i="23"/>
  <c r="H154" i="26"/>
  <c r="H27" i="26"/>
  <c r="H30" i="26"/>
  <c r="F33" i="26"/>
  <c r="F62" i="26"/>
  <c r="H72" i="26"/>
  <c r="H75" i="26"/>
  <c r="F78" i="26"/>
  <c r="F107" i="26"/>
  <c r="H117" i="26"/>
  <c r="H120" i="26"/>
  <c r="F123" i="26"/>
  <c r="F152" i="26"/>
  <c r="H162" i="26"/>
  <c r="H165" i="26"/>
  <c r="F168" i="26"/>
  <c r="F197" i="26"/>
  <c r="H203" i="26"/>
  <c r="F206" i="26"/>
  <c r="H33" i="26"/>
  <c r="F42" i="26"/>
  <c r="F45" i="26"/>
  <c r="H62" i="26"/>
  <c r="H78" i="26"/>
  <c r="F87" i="26"/>
  <c r="F90" i="26"/>
  <c r="H107" i="26"/>
  <c r="H123" i="26"/>
  <c r="F132" i="26"/>
  <c r="F135" i="26"/>
  <c r="H152" i="26"/>
  <c r="H168" i="26"/>
  <c r="F177" i="26"/>
  <c r="F180" i="26"/>
  <c r="H197" i="26"/>
  <c r="F202" i="26"/>
  <c r="H206" i="26"/>
  <c r="F209" i="26"/>
  <c r="L63" i="26"/>
  <c r="L140" i="26"/>
  <c r="L78" i="26"/>
  <c r="E212" i="26"/>
  <c r="J212" i="26" s="1"/>
  <c r="L110" i="26"/>
  <c r="L168" i="26"/>
  <c r="F32" i="26"/>
  <c r="H35" i="26"/>
  <c r="H42" i="26"/>
  <c r="F48" i="26"/>
  <c r="F77" i="26"/>
  <c r="H80" i="26"/>
  <c r="H87" i="26"/>
  <c r="F93" i="26"/>
  <c r="F122" i="26"/>
  <c r="H125" i="26"/>
  <c r="H132" i="26"/>
  <c r="F138" i="26"/>
  <c r="F154" i="26"/>
  <c r="F167" i="26"/>
  <c r="H170" i="26"/>
  <c r="H177" i="26"/>
  <c r="F183" i="26"/>
  <c r="H202" i="26"/>
  <c r="H209" i="26"/>
  <c r="L80" i="26"/>
  <c r="L177" i="26"/>
  <c r="H199" i="26"/>
  <c r="L50" i="26"/>
  <c r="F108" i="26"/>
  <c r="F137" i="26"/>
  <c r="H140" i="26"/>
  <c r="H147" i="26"/>
  <c r="F153" i="26"/>
  <c r="F182" i="26"/>
  <c r="H185" i="26"/>
  <c r="H192" i="26"/>
  <c r="F198" i="26"/>
  <c r="H201" i="26"/>
  <c r="L87" i="26"/>
  <c r="L132" i="26"/>
  <c r="L206" i="26"/>
  <c r="L45" i="26"/>
  <c r="L135" i="26"/>
  <c r="L32" i="26"/>
  <c r="L47" i="26"/>
  <c r="L77" i="26"/>
  <c r="L90" i="26"/>
  <c r="L107" i="26"/>
  <c r="L137" i="26"/>
  <c r="L167" i="26"/>
  <c r="L180" i="26"/>
  <c r="L197" i="26"/>
  <c r="L33" i="26"/>
  <c r="L62" i="26"/>
  <c r="L92" i="26"/>
  <c r="L122" i="26"/>
  <c r="L152" i="26"/>
  <c r="L182" i="26"/>
  <c r="L123" i="26"/>
  <c r="L35" i="26"/>
  <c r="L65" i="26"/>
  <c r="L95" i="26"/>
  <c r="L125" i="26"/>
  <c r="L155" i="26"/>
  <c r="L185" i="26"/>
  <c r="L202" i="26"/>
  <c r="L201" i="26"/>
  <c r="L209" i="26"/>
  <c r="C213" i="31"/>
  <c r="C207" i="31"/>
  <c r="D210" i="31"/>
  <c r="E213" i="31"/>
  <c r="I209" i="31"/>
  <c r="E210" i="31"/>
  <c r="H34" i="31"/>
  <c r="F34" i="31"/>
  <c r="L34" i="31"/>
  <c r="H20" i="31"/>
  <c r="I27" i="31"/>
  <c r="L30" i="31"/>
  <c r="F201" i="31"/>
  <c r="L202" i="31"/>
  <c r="I20" i="31"/>
  <c r="J20" i="31"/>
  <c r="L32" i="31"/>
  <c r="H201" i="31"/>
  <c r="F202" i="31"/>
  <c r="L203" i="31"/>
  <c r="L206" i="31"/>
  <c r="I201" i="31"/>
  <c r="F30" i="31"/>
  <c r="F32" i="31"/>
  <c r="L33" i="31"/>
  <c r="J201" i="31"/>
  <c r="H202" i="31"/>
  <c r="F203" i="31"/>
  <c r="I202" i="31"/>
  <c r="E207" i="31"/>
  <c r="H32" i="31"/>
  <c r="F33" i="31"/>
  <c r="H203" i="31"/>
  <c r="F205" i="31"/>
  <c r="F206" i="31"/>
  <c r="L209" i="31"/>
  <c r="I32" i="31"/>
  <c r="C200" i="31"/>
  <c r="C214" i="31" s="1"/>
  <c r="I203" i="31"/>
  <c r="C212" i="31"/>
  <c r="D200" i="31"/>
  <c r="D214" i="31" s="1"/>
  <c r="F209" i="31"/>
  <c r="D212" i="31"/>
  <c r="E200" i="31"/>
  <c r="E212" i="31"/>
  <c r="C206" i="23"/>
  <c r="C205" i="23"/>
  <c r="D209" i="23"/>
  <c r="D205" i="23"/>
  <c r="D203" i="23"/>
  <c r="D202" i="23"/>
  <c r="E170" i="23"/>
  <c r="E140" i="23"/>
  <c r="E50" i="23"/>
  <c r="E20" i="23"/>
  <c r="J212" i="31" l="1"/>
  <c r="I213" i="26"/>
  <c r="J213" i="31"/>
  <c r="H49" i="26"/>
  <c r="J49" i="26"/>
  <c r="I49" i="26"/>
  <c r="I207" i="26"/>
  <c r="I212" i="26"/>
  <c r="I213" i="31"/>
  <c r="I212" i="31"/>
  <c r="J200" i="26"/>
  <c r="I200" i="26"/>
  <c r="E154" i="23"/>
  <c r="L154" i="23" s="1"/>
  <c r="J140" i="23"/>
  <c r="I140" i="23"/>
  <c r="E34" i="23"/>
  <c r="L34" i="23" s="1"/>
  <c r="J20" i="23"/>
  <c r="I20" i="23"/>
  <c r="E184" i="23"/>
  <c r="L184" i="23" s="1"/>
  <c r="J170" i="23"/>
  <c r="I170" i="23"/>
  <c r="E64" i="23"/>
  <c r="L64" i="23" s="1"/>
  <c r="J50" i="23"/>
  <c r="I50" i="23"/>
  <c r="H210" i="26"/>
  <c r="L139" i="26"/>
  <c r="F139" i="26"/>
  <c r="F184" i="26"/>
  <c r="H213" i="26"/>
  <c r="L213" i="26"/>
  <c r="L213" i="31"/>
  <c r="L184" i="26"/>
  <c r="H200" i="26"/>
  <c r="H79" i="26"/>
  <c r="L79" i="26"/>
  <c r="F169" i="26"/>
  <c r="L169" i="26"/>
  <c r="L49" i="26"/>
  <c r="F49" i="26"/>
  <c r="L34" i="26"/>
  <c r="F34" i="26"/>
  <c r="E185" i="23"/>
  <c r="E155" i="23"/>
  <c r="E125" i="23"/>
  <c r="E110" i="23"/>
  <c r="E95" i="23"/>
  <c r="E80" i="23"/>
  <c r="E65" i="23"/>
  <c r="E35" i="23"/>
  <c r="E209" i="23"/>
  <c r="E206" i="23"/>
  <c r="F206" i="23" s="1"/>
  <c r="E205" i="23"/>
  <c r="F205" i="23" s="1"/>
  <c r="E203" i="23"/>
  <c r="E202" i="23"/>
  <c r="E200" i="23"/>
  <c r="E201" i="23"/>
  <c r="D206" i="23"/>
  <c r="D210" i="23" s="1"/>
  <c r="D201" i="23"/>
  <c r="D213" i="23" s="1"/>
  <c r="C209" i="23"/>
  <c r="C210" i="23" s="1"/>
  <c r="C203" i="23"/>
  <c r="C202" i="23"/>
  <c r="C201" i="23"/>
  <c r="C213" i="23" s="1"/>
  <c r="E214" i="26"/>
  <c r="F64" i="26"/>
  <c r="L210" i="26"/>
  <c r="L212" i="26"/>
  <c r="F213" i="31"/>
  <c r="H213" i="31"/>
  <c r="F210" i="31"/>
  <c r="H210" i="31"/>
  <c r="L210" i="31"/>
  <c r="F124" i="26"/>
  <c r="L124" i="26"/>
  <c r="F213" i="26"/>
  <c r="H109" i="26"/>
  <c r="F109" i="26"/>
  <c r="F210" i="26"/>
  <c r="L94" i="26"/>
  <c r="F94" i="26"/>
  <c r="H64" i="26"/>
  <c r="L207" i="26"/>
  <c r="F207" i="26"/>
  <c r="H207" i="26"/>
  <c r="F200" i="26"/>
  <c r="C207" i="23"/>
  <c r="G207" i="23"/>
  <c r="G200" i="23"/>
  <c r="G214" i="23" s="1"/>
  <c r="G212" i="23"/>
  <c r="G213" i="23"/>
  <c r="G210" i="23"/>
  <c r="H212" i="26"/>
  <c r="F212" i="26"/>
  <c r="L200" i="26"/>
  <c r="L200" i="31"/>
  <c r="J207" i="31"/>
  <c r="I207" i="31"/>
  <c r="H207" i="31"/>
  <c r="F207" i="31"/>
  <c r="L207" i="31"/>
  <c r="F200" i="31"/>
  <c r="F212" i="31"/>
  <c r="L212" i="31"/>
  <c r="H212" i="31"/>
  <c r="J200" i="31"/>
  <c r="E214" i="31"/>
  <c r="J214" i="31" s="1"/>
  <c r="I200" i="31"/>
  <c r="H200" i="31"/>
  <c r="F214" i="26" l="1"/>
  <c r="J214" i="26"/>
  <c r="I214" i="26"/>
  <c r="I214" i="31"/>
  <c r="I201" i="23"/>
  <c r="J201" i="23"/>
  <c r="F201" i="23"/>
  <c r="J200" i="23"/>
  <c r="E94" i="23"/>
  <c r="L94" i="23" s="1"/>
  <c r="J80" i="23"/>
  <c r="I80" i="23"/>
  <c r="I184" i="23"/>
  <c r="F184" i="23"/>
  <c r="J184" i="23"/>
  <c r="J202" i="23"/>
  <c r="I202" i="23"/>
  <c r="F202" i="23"/>
  <c r="E109" i="23"/>
  <c r="L109" i="23" s="1"/>
  <c r="J95" i="23"/>
  <c r="I95" i="23"/>
  <c r="E79" i="23"/>
  <c r="L79" i="23" s="1"/>
  <c r="J65" i="23"/>
  <c r="I65" i="23"/>
  <c r="I203" i="23"/>
  <c r="F203" i="23"/>
  <c r="J203" i="23"/>
  <c r="E124" i="23"/>
  <c r="L124" i="23" s="1"/>
  <c r="J110" i="23"/>
  <c r="I110" i="23"/>
  <c r="E139" i="23"/>
  <c r="L139" i="23" s="1"/>
  <c r="J125" i="23"/>
  <c r="I125" i="23"/>
  <c r="F34" i="23"/>
  <c r="I34" i="23"/>
  <c r="J34" i="23"/>
  <c r="E169" i="23"/>
  <c r="J155" i="23"/>
  <c r="I155" i="23"/>
  <c r="J209" i="23"/>
  <c r="I209" i="23"/>
  <c r="F209" i="23"/>
  <c r="E199" i="23"/>
  <c r="J185" i="23"/>
  <c r="I185" i="23"/>
  <c r="I64" i="23"/>
  <c r="F64" i="23"/>
  <c r="J64" i="23"/>
  <c r="E49" i="23"/>
  <c r="J35" i="23"/>
  <c r="I35" i="23"/>
  <c r="I154" i="23"/>
  <c r="F154" i="23"/>
  <c r="J154" i="23"/>
  <c r="L214" i="26"/>
  <c r="H214" i="26"/>
  <c r="C212" i="23"/>
  <c r="E212" i="23"/>
  <c r="D200" i="23"/>
  <c r="D214" i="23" s="1"/>
  <c r="D212" i="23"/>
  <c r="D207" i="23"/>
  <c r="E207" i="23"/>
  <c r="E210" i="23"/>
  <c r="F210" i="23" s="1"/>
  <c r="E214" i="23"/>
  <c r="E213" i="23"/>
  <c r="C200" i="23"/>
  <c r="C214" i="23" s="1"/>
  <c r="L214" i="31"/>
  <c r="H214" i="31"/>
  <c r="F214" i="31"/>
  <c r="J214" i="23" l="1"/>
  <c r="I214" i="23"/>
  <c r="F207" i="23"/>
  <c r="J207" i="23"/>
  <c r="I207" i="23"/>
  <c r="I169" i="23"/>
  <c r="F169" i="23"/>
  <c r="J169" i="23"/>
  <c r="I199" i="23"/>
  <c r="F199" i="23"/>
  <c r="J199" i="23"/>
  <c r="I109" i="23"/>
  <c r="F109" i="23"/>
  <c r="J109" i="23"/>
  <c r="I124" i="23"/>
  <c r="F124" i="23"/>
  <c r="J124" i="23"/>
  <c r="L169" i="23"/>
  <c r="I94" i="23"/>
  <c r="F94" i="23"/>
  <c r="J94" i="23"/>
  <c r="J212" i="23"/>
  <c r="I212" i="23"/>
  <c r="F212" i="23"/>
  <c r="I49" i="23"/>
  <c r="F49" i="23"/>
  <c r="J49" i="23"/>
  <c r="I200" i="23"/>
  <c r="I139" i="23"/>
  <c r="F139" i="23"/>
  <c r="J139" i="23"/>
  <c r="F200" i="23"/>
  <c r="I213" i="23"/>
  <c r="F213" i="23"/>
  <c r="J213" i="23"/>
  <c r="F214" i="23"/>
  <c r="L49" i="23"/>
  <c r="I79" i="23"/>
  <c r="F79" i="23"/>
  <c r="J79" i="23"/>
  <c r="L194" i="23"/>
  <c r="H194" i="23"/>
  <c r="H191" i="23"/>
  <c r="L191" i="23"/>
  <c r="H190" i="23"/>
  <c r="L190" i="23"/>
  <c r="L186" i="23"/>
  <c r="H186" i="23"/>
  <c r="L187" i="23"/>
  <c r="H187" i="23"/>
  <c r="H188" i="23"/>
  <c r="L188" i="23"/>
  <c r="H179" i="23"/>
  <c r="H176" i="23"/>
  <c r="H175" i="23"/>
  <c r="H172" i="23"/>
  <c r="H173" i="23"/>
  <c r="H171" i="23"/>
  <c r="H164" i="23"/>
  <c r="H161" i="23"/>
  <c r="H160" i="23"/>
  <c r="H156" i="23"/>
  <c r="H157" i="23"/>
  <c r="H158" i="23"/>
  <c r="H149" i="23"/>
  <c r="H146" i="23"/>
  <c r="H145" i="23"/>
  <c r="H142" i="23"/>
  <c r="H143" i="23"/>
  <c r="H141" i="23"/>
  <c r="H134" i="23"/>
  <c r="H131" i="23"/>
  <c r="H130" i="23"/>
  <c r="H126" i="23"/>
  <c r="H127" i="23"/>
  <c r="H128" i="23"/>
  <c r="H119" i="23"/>
  <c r="H116" i="23"/>
  <c r="H115" i="23"/>
  <c r="H111" i="23"/>
  <c r="H113" i="23"/>
  <c r="H112" i="23"/>
  <c r="H104" i="23"/>
  <c r="H101" i="23"/>
  <c r="H100" i="23"/>
  <c r="H96" i="23"/>
  <c r="H97" i="23"/>
  <c r="H98" i="23"/>
  <c r="H89" i="23"/>
  <c r="H86" i="23"/>
  <c r="H85" i="23"/>
  <c r="H82" i="23"/>
  <c r="H83" i="23"/>
  <c r="H81" i="23"/>
  <c r="H74" i="23"/>
  <c r="H71" i="23"/>
  <c r="H70" i="23"/>
  <c r="H66" i="23"/>
  <c r="H67" i="23"/>
  <c r="H68" i="23"/>
  <c r="H59" i="23"/>
  <c r="H56" i="23"/>
  <c r="H55" i="23"/>
  <c r="H51" i="23"/>
  <c r="H52" i="23"/>
  <c r="H53" i="23"/>
  <c r="H44" i="23"/>
  <c r="H41" i="23"/>
  <c r="H40" i="23"/>
  <c r="H36" i="23"/>
  <c r="H37" i="23"/>
  <c r="H38" i="23"/>
  <c r="H29" i="23"/>
  <c r="H26" i="23"/>
  <c r="H25" i="23"/>
  <c r="H23" i="23"/>
  <c r="H22" i="23"/>
  <c r="H21" i="23"/>
  <c r="H195" i="23" l="1"/>
  <c r="L195" i="23"/>
  <c r="H192" i="23"/>
  <c r="L192" i="23"/>
  <c r="H185" i="23"/>
  <c r="H197" i="23"/>
  <c r="L197" i="23"/>
  <c r="H198" i="23"/>
  <c r="L198" i="23"/>
  <c r="L185" i="23"/>
  <c r="H180" i="23"/>
  <c r="H177" i="23"/>
  <c r="H170" i="23"/>
  <c r="H182" i="23"/>
  <c r="H183" i="23"/>
  <c r="H165" i="23"/>
  <c r="H162" i="23"/>
  <c r="H167" i="23"/>
  <c r="H155" i="23"/>
  <c r="H168" i="23"/>
  <c r="H150" i="23"/>
  <c r="H147" i="23"/>
  <c r="H152" i="23"/>
  <c r="H140" i="23"/>
  <c r="H153" i="23"/>
  <c r="H135" i="23"/>
  <c r="H132" i="23"/>
  <c r="H137" i="23"/>
  <c r="H138" i="23"/>
  <c r="H125" i="23"/>
  <c r="H120" i="23"/>
  <c r="H117" i="23"/>
  <c r="H122" i="23"/>
  <c r="H110" i="23"/>
  <c r="H123" i="23"/>
  <c r="H105" i="23"/>
  <c r="H102" i="23"/>
  <c r="H107" i="23"/>
  <c r="H108" i="23"/>
  <c r="H95" i="23"/>
  <c r="H90" i="23"/>
  <c r="H87" i="23"/>
  <c r="H92" i="23"/>
  <c r="H93" i="23"/>
  <c r="H80" i="23"/>
  <c r="H75" i="23"/>
  <c r="H72" i="23"/>
  <c r="H78" i="23"/>
  <c r="H77" i="23"/>
  <c r="H65" i="23"/>
  <c r="H60" i="23"/>
  <c r="H57" i="23"/>
  <c r="H62" i="23"/>
  <c r="H50" i="23"/>
  <c r="H63" i="23"/>
  <c r="H45" i="23"/>
  <c r="H42" i="23"/>
  <c r="H48" i="23"/>
  <c r="H35" i="23"/>
  <c r="H47" i="23"/>
  <c r="H209" i="23"/>
  <c r="L209" i="23"/>
  <c r="H206" i="23"/>
  <c r="L206" i="23"/>
  <c r="H30" i="23"/>
  <c r="H27" i="23"/>
  <c r="H205" i="23"/>
  <c r="L205" i="23"/>
  <c r="H32" i="23"/>
  <c r="H201" i="23"/>
  <c r="L201" i="23"/>
  <c r="H202" i="23"/>
  <c r="L202" i="23"/>
  <c r="H33" i="23"/>
  <c r="H203" i="23"/>
  <c r="L203" i="23"/>
  <c r="H20" i="23"/>
  <c r="H199" i="23" l="1"/>
  <c r="L199" i="23"/>
  <c r="H184" i="23"/>
  <c r="H169" i="23"/>
  <c r="H154" i="23"/>
  <c r="H139" i="23"/>
  <c r="H124" i="23"/>
  <c r="H109" i="23"/>
  <c r="H94" i="23"/>
  <c r="H79" i="23"/>
  <c r="H64" i="23"/>
  <c r="H49" i="23"/>
  <c r="H210" i="23"/>
  <c r="L210" i="23"/>
  <c r="H207" i="23"/>
  <c r="L207" i="23"/>
  <c r="H200" i="23"/>
  <c r="H34" i="23"/>
  <c r="L200" i="23"/>
  <c r="H212" i="23"/>
  <c r="L212" i="23"/>
  <c r="H213" i="23"/>
  <c r="L213" i="23"/>
  <c r="H214" i="23" l="1"/>
  <c r="L214" i="23"/>
  <c r="K10" i="26" a="1"/>
  <c r="E7" i="31" a="1"/>
  <c r="E8" i="31" a="1"/>
  <c r="K8" i="31" a="1"/>
  <c r="E7" i="26" a="1"/>
  <c r="E14" i="31" a="1"/>
  <c r="K7" i="26" a="1"/>
  <c r="K6" i="26" a="1"/>
  <c r="K8" i="26" a="1"/>
  <c r="E10" i="31" a="1"/>
  <c r="K14" i="26" a="1"/>
  <c r="K14" i="31" a="1"/>
  <c r="K10" i="31" a="1"/>
  <c r="K7" i="31" a="1"/>
  <c r="E14" i="26" a="1"/>
  <c r="K11" i="26" a="1"/>
  <c r="G6" i="31" a="1"/>
  <c r="E11" i="26" a="1"/>
  <c r="E6" i="31" a="1"/>
  <c r="K11" i="31" a="1"/>
  <c r="E8" i="26" a="1"/>
  <c r="E10" i="26" a="1"/>
  <c r="E6" i="26" a="1"/>
  <c r="K6" i="31" a="1"/>
  <c r="E11" i="31" a="1"/>
  <c r="K10" i="31" l="1"/>
  <c r="K10" i="26"/>
  <c r="K7" i="31"/>
  <c r="E8" i="31"/>
  <c r="E7" i="31"/>
  <c r="K11" i="26"/>
  <c r="E11" i="26"/>
  <c r="E8" i="26"/>
  <c r="K14" i="26"/>
  <c r="K8" i="26"/>
  <c r="E11" i="31"/>
  <c r="K14" i="31"/>
  <c r="E14" i="31"/>
  <c r="K8" i="31"/>
  <c r="E6" i="31"/>
  <c r="K6" i="31"/>
  <c r="K7" i="26"/>
  <c r="E10" i="26"/>
  <c r="K11" i="31"/>
  <c r="E7" i="26"/>
  <c r="E6" i="26"/>
  <c r="K6" i="26"/>
  <c r="E10" i="31"/>
  <c r="E14" i="26"/>
  <c r="G6" i="31"/>
  <c r="G11" i="31" a="1"/>
  <c r="G7" i="31" a="1"/>
  <c r="G6" i="26" a="1"/>
  <c r="G10" i="31" a="1"/>
  <c r="G7" i="26" a="1"/>
  <c r="G11" i="26" a="1"/>
  <c r="G8" i="31" a="1"/>
  <c r="G8" i="26" a="1"/>
  <c r="K8" i="23" l="1"/>
  <c r="K5" i="26"/>
  <c r="K6" i="23"/>
  <c r="E10" i="23"/>
  <c r="K10" i="23"/>
  <c r="E5" i="26"/>
  <c r="K11" i="23"/>
  <c r="K14" i="23"/>
  <c r="G8" i="26"/>
  <c r="G8" i="31"/>
  <c r="G7" i="26"/>
  <c r="G7" i="31"/>
  <c r="G11" i="26"/>
  <c r="G6" i="26"/>
  <c r="G6" i="23" s="1"/>
  <c r="G11" i="31"/>
  <c r="E5" i="31"/>
  <c r="E6" i="23"/>
  <c r="E14" i="23"/>
  <c r="E7" i="23"/>
  <c r="E8" i="23"/>
  <c r="E11" i="23"/>
  <c r="K7" i="23"/>
  <c r="K5" i="31"/>
  <c r="G10" i="31"/>
  <c r="C6" i="26" a="1"/>
  <c r="G14" i="26" a="1"/>
  <c r="C6" i="31" a="1"/>
  <c r="G14" i="31" a="1"/>
  <c r="C11" i="31" a="1"/>
  <c r="C7" i="31" a="1"/>
  <c r="G10" i="26" a="1"/>
  <c r="C8" i="26" a="1"/>
  <c r="C11" i="26" a="1"/>
  <c r="C10" i="31" a="1"/>
  <c r="C8" i="31" a="1"/>
  <c r="C7" i="26" a="1"/>
  <c r="L8" i="23" l="1"/>
  <c r="K5" i="23"/>
  <c r="K19" i="23" s="1"/>
  <c r="K18" i="23"/>
  <c r="K17" i="23"/>
  <c r="K12" i="23"/>
  <c r="E5" i="23"/>
  <c r="E19" i="23" s="1"/>
  <c r="E12" i="23"/>
  <c r="K15" i="23"/>
  <c r="J6" i="23"/>
  <c r="G7" i="23"/>
  <c r="E15" i="23"/>
  <c r="C11" i="31"/>
  <c r="C8" i="26"/>
  <c r="C8" i="31"/>
  <c r="G14" i="26"/>
  <c r="C6" i="31"/>
  <c r="G14" i="31"/>
  <c r="C11" i="26"/>
  <c r="C7" i="31"/>
  <c r="G10" i="26"/>
  <c r="G10" i="23" s="1"/>
  <c r="G18" i="23" s="1"/>
  <c r="C7" i="26"/>
  <c r="C6" i="26"/>
  <c r="G11" i="23"/>
  <c r="G17" i="23" s="1"/>
  <c r="L7" i="23"/>
  <c r="L6" i="23"/>
  <c r="E17" i="23"/>
  <c r="E18" i="23"/>
  <c r="L18" i="23" s="1"/>
  <c r="G8" i="23"/>
  <c r="C10" i="31"/>
  <c r="C10" i="26" a="1"/>
  <c r="C14" i="31" a="1"/>
  <c r="C8" i="23" l="1"/>
  <c r="F8" i="23" s="1"/>
  <c r="L19" i="23"/>
  <c r="L12" i="23"/>
  <c r="L15" i="23"/>
  <c r="G5" i="23"/>
  <c r="H5" i="23" s="1"/>
  <c r="G14" i="23"/>
  <c r="J14" i="23" s="1"/>
  <c r="J17" i="23"/>
  <c r="C6" i="23"/>
  <c r="F6" i="23" s="1"/>
  <c r="C10" i="26"/>
  <c r="C10" i="23" s="1"/>
  <c r="G12" i="23"/>
  <c r="J12" i="23" s="1"/>
  <c r="L17" i="23"/>
  <c r="H17" i="23"/>
  <c r="H18" i="23"/>
  <c r="L5" i="23"/>
  <c r="C7" i="23"/>
  <c r="I7" i="23" s="1"/>
  <c r="J18" i="23"/>
  <c r="C11" i="23"/>
  <c r="F11" i="23" s="1"/>
  <c r="C14" i="31"/>
  <c r="C15" i="31" s="1"/>
  <c r="L14" i="23"/>
  <c r="L10" i="23"/>
  <c r="H6" i="23"/>
  <c r="H7" i="23"/>
  <c r="H8" i="23"/>
  <c r="L11" i="23"/>
  <c r="H11" i="23"/>
  <c r="E19" i="31"/>
  <c r="K19" i="31"/>
  <c r="G5" i="31"/>
  <c r="G19" i="31" s="1"/>
  <c r="C5" i="31"/>
  <c r="I5" i="31" s="1"/>
  <c r="E19" i="26"/>
  <c r="K19" i="26"/>
  <c r="G5" i="26"/>
  <c r="H5" i="26" s="1"/>
  <c r="C5" i="26"/>
  <c r="C19" i="26" s="1"/>
  <c r="F6" i="26"/>
  <c r="F7" i="26"/>
  <c r="F8" i="26"/>
  <c r="F6" i="31"/>
  <c r="F7" i="31"/>
  <c r="F8" i="31"/>
  <c r="E15" i="31"/>
  <c r="K15" i="31"/>
  <c r="G15" i="31"/>
  <c r="E12" i="31"/>
  <c r="K12" i="31"/>
  <c r="C12" i="31"/>
  <c r="G12" i="31"/>
  <c r="E17" i="31"/>
  <c r="K17" i="31"/>
  <c r="C17" i="31"/>
  <c r="G17" i="31"/>
  <c r="E18" i="31"/>
  <c r="K18" i="31"/>
  <c r="C18" i="31"/>
  <c r="G18" i="31"/>
  <c r="E15" i="26"/>
  <c r="K15" i="26"/>
  <c r="G15" i="26"/>
  <c r="E17" i="26"/>
  <c r="K17" i="26"/>
  <c r="C17" i="26"/>
  <c r="G17" i="26"/>
  <c r="E18" i="26"/>
  <c r="K18" i="26"/>
  <c r="G18" i="26"/>
  <c r="E12" i="26"/>
  <c r="K12" i="26"/>
  <c r="G12" i="26"/>
  <c r="L14" i="31"/>
  <c r="H14" i="31"/>
  <c r="J14" i="31"/>
  <c r="L7" i="26"/>
  <c r="I7" i="26"/>
  <c r="H7" i="26"/>
  <c r="J7" i="26"/>
  <c r="L7" i="31"/>
  <c r="J7" i="31"/>
  <c r="I7" i="31"/>
  <c r="H7" i="31"/>
  <c r="L10" i="26"/>
  <c r="H10" i="26"/>
  <c r="L8" i="31"/>
  <c r="L6" i="31"/>
  <c r="J8" i="31"/>
  <c r="I8" i="31"/>
  <c r="H8" i="31"/>
  <c r="J7" i="23"/>
  <c r="L8" i="26"/>
  <c r="L6" i="26"/>
  <c r="H8" i="26"/>
  <c r="I8" i="26"/>
  <c r="J8" i="26"/>
  <c r="L11" i="26"/>
  <c r="H11" i="26"/>
  <c r="F11" i="26"/>
  <c r="L14" i="26"/>
  <c r="H14" i="26"/>
  <c r="J14" i="26"/>
  <c r="L10" i="31"/>
  <c r="H10" i="31"/>
  <c r="F10" i="31"/>
  <c r="H6" i="26"/>
  <c r="J6" i="26"/>
  <c r="I6" i="26"/>
  <c r="L11" i="31"/>
  <c r="H11" i="31"/>
  <c r="F11" i="31"/>
  <c r="H6" i="31"/>
  <c r="I6" i="31"/>
  <c r="J6" i="31"/>
  <c r="J8" i="23"/>
  <c r="H10" i="23"/>
  <c r="D11" i="31" a="1"/>
  <c r="D11" i="26" a="1"/>
  <c r="D8" i="26" a="1"/>
  <c r="D7" i="31" a="1"/>
  <c r="D14" i="26" a="1"/>
  <c r="D10" i="26" a="1"/>
  <c r="D14" i="31" a="1"/>
  <c r="C14" i="26" a="1"/>
  <c r="D6" i="31" a="1"/>
  <c r="D6" i="26" a="1"/>
  <c r="D8" i="31" a="1"/>
  <c r="D7" i="26" a="1"/>
  <c r="D10" i="31" a="1"/>
  <c r="C18" i="26" l="1"/>
  <c r="I18" i="26" s="1"/>
  <c r="I8" i="23"/>
  <c r="I14" i="31"/>
  <c r="G15" i="23"/>
  <c r="H15" i="23" s="1"/>
  <c r="G19" i="23"/>
  <c r="J19" i="23" s="1"/>
  <c r="I5" i="26"/>
  <c r="F10" i="26"/>
  <c r="F14" i="31"/>
  <c r="C12" i="26"/>
  <c r="I12" i="26" s="1"/>
  <c r="J5" i="23"/>
  <c r="L15" i="26"/>
  <c r="C18" i="23"/>
  <c r="F18" i="23" s="1"/>
  <c r="H14" i="23"/>
  <c r="F10" i="23"/>
  <c r="H12" i="26"/>
  <c r="I6" i="23"/>
  <c r="H12" i="23"/>
  <c r="F15" i="31"/>
  <c r="F5" i="26"/>
  <c r="L15" i="31"/>
  <c r="F5" i="31"/>
  <c r="L18" i="31"/>
  <c r="D6" i="31"/>
  <c r="D14" i="26"/>
  <c r="D8" i="26"/>
  <c r="D14" i="31"/>
  <c r="D8" i="31"/>
  <c r="C14" i="26"/>
  <c r="C14" i="23" s="1"/>
  <c r="D7" i="26"/>
  <c r="D10" i="26"/>
  <c r="D7" i="31"/>
  <c r="D11" i="26"/>
  <c r="D10" i="31"/>
  <c r="D6" i="26"/>
  <c r="D11" i="31"/>
  <c r="L5" i="26"/>
  <c r="L18" i="26"/>
  <c r="H5" i="31"/>
  <c r="J12" i="26"/>
  <c r="C12" i="23"/>
  <c r="C17" i="23"/>
  <c r="L12" i="26"/>
  <c r="L17" i="26"/>
  <c r="F7" i="23"/>
  <c r="F5" i="23" s="1"/>
  <c r="C5" i="23"/>
  <c r="L5" i="31"/>
  <c r="H18" i="26"/>
  <c r="I17" i="31"/>
  <c r="L19" i="31"/>
  <c r="H18" i="31"/>
  <c r="L17" i="31"/>
  <c r="J5" i="31"/>
  <c r="H12" i="31"/>
  <c r="F12" i="31"/>
  <c r="H15" i="26"/>
  <c r="J17" i="31"/>
  <c r="L12" i="31"/>
  <c r="L19" i="26"/>
  <c r="J19" i="31"/>
  <c r="H19" i="31"/>
  <c r="F19" i="26"/>
  <c r="I19" i="26"/>
  <c r="H17" i="26"/>
  <c r="I18" i="31"/>
  <c r="J18" i="26"/>
  <c r="H17" i="31"/>
  <c r="J12" i="31"/>
  <c r="G19" i="26"/>
  <c r="H19" i="26" s="1"/>
  <c r="C19" i="31"/>
  <c r="I17" i="26"/>
  <c r="J5" i="26"/>
  <c r="F17" i="26"/>
  <c r="F18" i="31"/>
  <c r="F17" i="31"/>
  <c r="I12" i="31"/>
  <c r="J17" i="26"/>
  <c r="J18" i="31"/>
  <c r="H15" i="31"/>
  <c r="F18" i="26" l="1"/>
  <c r="D17" i="31"/>
  <c r="F12" i="26"/>
  <c r="H19" i="23"/>
  <c r="I18" i="23"/>
  <c r="D14" i="23"/>
  <c r="D17" i="26"/>
  <c r="D12" i="31"/>
  <c r="F14" i="26"/>
  <c r="I14" i="26"/>
  <c r="C15" i="26"/>
  <c r="F15" i="26" s="1"/>
  <c r="D12" i="26"/>
  <c r="D5" i="26"/>
  <c r="D19" i="26" s="1"/>
  <c r="D11" i="23"/>
  <c r="D8" i="23"/>
  <c r="D15" i="31"/>
  <c r="F17" i="23"/>
  <c r="I17" i="23"/>
  <c r="I12" i="23"/>
  <c r="F12" i="23"/>
  <c r="D10" i="23"/>
  <c r="D18" i="26"/>
  <c r="I5" i="23"/>
  <c r="C19" i="23"/>
  <c r="D15" i="26"/>
  <c r="D7" i="23"/>
  <c r="D6" i="23"/>
  <c r="D5" i="31"/>
  <c r="D19" i="31" s="1"/>
  <c r="D18" i="31"/>
  <c r="C15" i="23"/>
  <c r="F15" i="23" s="1"/>
  <c r="I14" i="23"/>
  <c r="F14" i="23"/>
  <c r="J19" i="26"/>
  <c r="I19" i="31"/>
  <c r="F19" i="31"/>
  <c r="D15" i="23" l="1"/>
  <c r="D18" i="23"/>
  <c r="D12" i="23"/>
  <c r="D5" i="23"/>
  <c r="D19" i="23" s="1"/>
  <c r="D17" i="23"/>
  <c r="I19" i="23"/>
  <c r="F19" i="2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<sst xmlns="http://schemas.openxmlformats.org/spreadsheetml/2006/main" count="1102" uniqueCount="172">
  <si>
    <t>Budget</t>
  </si>
  <si>
    <t>OTB</t>
  </si>
  <si>
    <t>Diff / Budget</t>
  </si>
  <si>
    <t>% zu Bdg</t>
  </si>
  <si>
    <t>% zu VJ</t>
  </si>
  <si>
    <t>Logis</t>
  </si>
  <si>
    <t>F&amp;B</t>
  </si>
  <si>
    <t>Sonstiges</t>
  </si>
  <si>
    <t>Available Rooms</t>
  </si>
  <si>
    <t>Occupancy #</t>
  </si>
  <si>
    <t>Occupancy %</t>
  </si>
  <si>
    <t>Guests in House</t>
  </si>
  <si>
    <t>DBF</t>
  </si>
  <si>
    <t>AVRR</t>
  </si>
  <si>
    <t>RevPAR</t>
  </si>
  <si>
    <t>Juli</t>
  </si>
  <si>
    <t>August</t>
  </si>
  <si>
    <t>September</t>
  </si>
  <si>
    <t>Oktober</t>
  </si>
  <si>
    <t>November</t>
  </si>
  <si>
    <t>Dezember</t>
  </si>
  <si>
    <t>Januar</t>
  </si>
  <si>
    <t>Februar</t>
  </si>
  <si>
    <t>März</t>
  </si>
  <si>
    <t>April</t>
  </si>
  <si>
    <t>Mai</t>
  </si>
  <si>
    <t>Juni</t>
  </si>
  <si>
    <t>Jan-</t>
  </si>
  <si>
    <t>Zimmer</t>
  </si>
  <si>
    <t>Betten</t>
  </si>
  <si>
    <t>Break Even</t>
  </si>
  <si>
    <t>Estimate</t>
  </si>
  <si>
    <t>Diff / Estimate</t>
  </si>
  <si>
    <t>H+ Hotel Salzburg</t>
  </si>
  <si>
    <t>Total ADR</t>
  </si>
  <si>
    <t>H+ Hotel Wien</t>
  </si>
  <si>
    <t>Region Austria</t>
  </si>
  <si>
    <t>Estimate -1</t>
  </si>
  <si>
    <t>Diff / Vorjahr</t>
  </si>
  <si>
    <t>Vorjahr</t>
  </si>
  <si>
    <t>Resort</t>
  </si>
  <si>
    <t>Name</t>
  </si>
  <si>
    <t>Number of Rooms</t>
  </si>
  <si>
    <t>Number of Beds</t>
  </si>
  <si>
    <t>19950</t>
  </si>
  <si>
    <t>Austria</t>
  </si>
  <si>
    <t>19955</t>
  </si>
  <si>
    <t>05313</t>
  </si>
  <si>
    <t>H+ Hotel Berlin Mitte</t>
  </si>
  <si>
    <t>Berlin</t>
  </si>
  <si>
    <t>05314</t>
  </si>
  <si>
    <t>HYPERION Hotel Berlin</t>
  </si>
  <si>
    <t>05992</t>
  </si>
  <si>
    <t>H2 Hotel Berlin Alexanderplatz</t>
  </si>
  <si>
    <t>32623</t>
  </si>
  <si>
    <t>H4 Hotel Berlin Alexanderplatz</t>
  </si>
  <si>
    <t>05708</t>
  </si>
  <si>
    <t>H+ Hotel Bremen</t>
  </si>
  <si>
    <t>08076</t>
  </si>
  <si>
    <t>H+ Hotel Lübeck</t>
  </si>
  <si>
    <t>15717</t>
  </si>
  <si>
    <t>H4 Hotel Hamburg Bergedorf</t>
  </si>
  <si>
    <t>15735</t>
  </si>
  <si>
    <t>H+ Hotel Stade Herzog Widukind</t>
  </si>
  <si>
    <t>32625</t>
  </si>
  <si>
    <t>HYPERION Hotel Hamburg</t>
  </si>
  <si>
    <t>X0002</t>
  </si>
  <si>
    <t>H+ Hotel Ferienpark Usedom</t>
  </si>
  <si>
    <t>05715</t>
  </si>
  <si>
    <t>H+ Hotel Goslar</t>
  </si>
  <si>
    <t>05725</t>
  </si>
  <si>
    <t>H4 Hotel Leipzig</t>
  </si>
  <si>
    <t>15714</t>
  </si>
  <si>
    <t>H+ Hotel &amp; SPA Friedrichroda</t>
  </si>
  <si>
    <t>32626</t>
  </si>
  <si>
    <t>Hyperion Hotel Dresden am Schloss</t>
  </si>
  <si>
    <t>42451</t>
  </si>
  <si>
    <t>H+ Hotel Leipzig</t>
  </si>
  <si>
    <t>71222</t>
  </si>
  <si>
    <t>H+ Hotel Leipzig-Halle</t>
  </si>
  <si>
    <t>15742</t>
  </si>
  <si>
    <t>H+ Hotel &amp; SPA Engelberg</t>
  </si>
  <si>
    <t>15743</t>
  </si>
  <si>
    <t>H4 Hotel Arcadia Locarno</t>
  </si>
  <si>
    <t>15756</t>
  </si>
  <si>
    <t>HYPERION Hotel Basel</t>
  </si>
  <si>
    <t>19117</t>
  </si>
  <si>
    <t>H4 Hotel Solothurn</t>
  </si>
  <si>
    <t>20374</t>
  </si>
  <si>
    <t>H+ Hotel Zürich</t>
  </si>
  <si>
    <t>80005</t>
  </si>
  <si>
    <t>H+ Hotel Sonnwendhof Engelberg</t>
  </si>
  <si>
    <t>05700</t>
  </si>
  <si>
    <t>H+ Hotel Limes Thermen Aalen</t>
  </si>
  <si>
    <t>05705</t>
  </si>
  <si>
    <t>H4 Hotel Residenzschloss Bayreuth</t>
  </si>
  <si>
    <t>05730</t>
  </si>
  <si>
    <t>H+ Hotel Nürnberg</t>
  </si>
  <si>
    <t>08073</t>
  </si>
  <si>
    <t>H+ Hotel Alpina Garmisch-Partenkirchen</t>
  </si>
  <si>
    <t>08075</t>
  </si>
  <si>
    <t>H+ Hotel München</t>
  </si>
  <si>
    <t>16289</t>
  </si>
  <si>
    <t>H+ Hotel Stuttgart Herrenberg</t>
  </si>
  <si>
    <t>20002</t>
  </si>
  <si>
    <t>H2 Hotel München Messe</t>
  </si>
  <si>
    <t>20007</t>
  </si>
  <si>
    <t>H2 Hotel München Olympiapark</t>
  </si>
  <si>
    <t>32628</t>
  </si>
  <si>
    <t>HYPERION Hotel München</t>
  </si>
  <si>
    <t>46393</t>
  </si>
  <si>
    <t>H4 Hotel München Messe</t>
  </si>
  <si>
    <t>60001</t>
  </si>
  <si>
    <t>H.omes Serviced Apartments München</t>
  </si>
  <si>
    <t>05729</t>
  </si>
  <si>
    <t>H+ Hotel Wiesbaden Niedernhausen</t>
  </si>
  <si>
    <t>15703</t>
  </si>
  <si>
    <t>H+ Hotel Bad Soden</t>
  </si>
  <si>
    <t>15709</t>
  </si>
  <si>
    <t>H+ Hotel Darmstadt</t>
  </si>
  <si>
    <t>15712</t>
  </si>
  <si>
    <t>H+ Hotel Frankfurt Airport West</t>
  </si>
  <si>
    <t>32624</t>
  </si>
  <si>
    <t>H4 Hotel Frankfurt Messe</t>
  </si>
  <si>
    <t>05304</t>
  </si>
  <si>
    <t>H4 Hotel Münster</t>
  </si>
  <si>
    <t>05719</t>
  </si>
  <si>
    <t>H+ Hotel Hannover</t>
  </si>
  <si>
    <t>05721</t>
  </si>
  <si>
    <t>H4 Hotel Kassel</t>
  </si>
  <si>
    <t>06025</t>
  </si>
  <si>
    <t>H+ Hotel Bochum</t>
  </si>
  <si>
    <t>15722</t>
  </si>
  <si>
    <t>H+ Hotel Köln Brühl</t>
  </si>
  <si>
    <t>15723</t>
  </si>
  <si>
    <t>H+ Hotel Köln Hürth</t>
  </si>
  <si>
    <t>15733</t>
  </si>
  <si>
    <t>H+ Hotel Siegen</t>
  </si>
  <si>
    <t>15738</t>
  </si>
  <si>
    <t>H+ Hotel Willingen</t>
  </si>
  <si>
    <t>15740</t>
  </si>
  <si>
    <t>H4 Hotel Mönchengladbach im BORUSSIA-PARK</t>
  </si>
  <si>
    <t>20004</t>
  </si>
  <si>
    <t>H4 Hotel Hannover Messe</t>
  </si>
  <si>
    <t>32621</t>
  </si>
  <si>
    <t>Hotel Brunnenhaus Schloss Landau Bad Arolsen</t>
  </si>
  <si>
    <t>X0007</t>
  </si>
  <si>
    <t xml:space="preserve">H.ostel Münster </t>
  </si>
  <si>
    <t>32629</t>
  </si>
  <si>
    <t>Hyperion Hotel Leipzig</t>
  </si>
  <si>
    <t>20005</t>
  </si>
  <si>
    <t>H2 Hotel Leipzig</t>
  </si>
  <si>
    <t>West</t>
  </si>
  <si>
    <t>Südwest</t>
  </si>
  <si>
    <t>Süd</t>
  </si>
  <si>
    <t>Schweiz</t>
  </si>
  <si>
    <t>Ost</t>
  </si>
  <si>
    <t>Nord</t>
  </si>
  <si>
    <t>Region</t>
  </si>
  <si>
    <t>Breakeven</t>
  </si>
  <si>
    <t>Region Berlin</t>
  </si>
  <si>
    <t>Region Nord</t>
  </si>
  <si>
    <t>Region Ost</t>
  </si>
  <si>
    <t>Region Schweiz</t>
  </si>
  <si>
    <t>Region Südwest</t>
  </si>
  <si>
    <t>Region Süd</t>
  </si>
  <si>
    <t>Region West</t>
  </si>
  <si>
    <t>Absage IFA
Marathon nur mit halber Stärke</t>
  </si>
  <si>
    <t>75# OOS - Wasserschaden
Teilweise Overflow-Geschäft vom H2</t>
  </si>
  <si>
    <t xml:space="preserve">Absage IFA
</t>
  </si>
  <si>
    <t>ca 35# OOS - Wasserschaden
Teilweise Overflow-Geschäft vom H2</t>
  </si>
  <si>
    <t>Teilweise schon überbucht
-&gt; Overflow H4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</si>
</sst>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#,##0_ ;[Red]\-#,##0\ "/>
    <numFmt numFmtId="165" formatCode="#,##0.00\ &quot;€&quot;"/>
    <numFmt numFmtId="166" formatCode="0.00_ ;[Red]\-0.00\ "/>
  </numFmts>
  <fonts count="8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b/>
      <sz val="10"/>
      <name val="Arial"/>
      <family val="2"/>
    </font>
    <font>
      <sz val="10"/>
      <name val="Arial"/>
      <family val="2"/>
    </font>
    <font>
      <sz val="12"/>
      <name val="Arial"/>
      <family val="2"/>
    </font>
    <font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8FAF4"/>
        <bgColor indexed="64"/>
      </patternFill>
    </fill>
    <fill>
      <patternFill patternType="solid">
        <fgColor theme="9" tint="0.79998168889431442"/>
        <bgColor indexed="64"/>
      </patternFill>
    </fill>
  </fills>
  <borders count="16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5">
    <xf numFmtId="0" fontId="0" fillId="0" borderId="0"/>
    <xf numFmtId="9" fontId="1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3" fillId="0" borderId="0"/>
    <xf numFmtId="9" fontId="3" fillId="0" borderId="0" applyFont="0" applyFill="0" applyBorder="0" applyAlignment="0" applyProtection="0"/>
  </cellStyleXfs>
  <cellXfs count="86">
    <xf numFmtId="0" fontId="0" fillId="0" borderId="0" xfId="0"/>
    <xf numFmtId="0" fontId="2" fillId="0" borderId="9" xfId="0" applyFont="1" applyFill="1" applyBorder="1" applyAlignment="1" applyProtection="1">
      <alignment horizontal="left" vertical="center"/>
    </xf>
    <xf numFmtId="0" fontId="2" fillId="0" borderId="4" xfId="0" applyFont="1" applyFill="1" applyBorder="1" applyAlignment="1" applyProtection="1">
      <alignment horizontal="left" vertical="center"/>
    </xf>
    <xf numFmtId="3" fontId="2" fillId="0" borderId="0" xfId="0" applyNumberFormat="1" applyFont="1" applyFill="1" applyBorder="1" applyAlignment="1" applyProtection="1">
      <alignment vertical="center"/>
    </xf>
    <xf numFmtId="3" fontId="2" fillId="0" borderId="0" xfId="0" applyNumberFormat="1" applyFont="1" applyFill="1" applyAlignment="1" applyProtection="1">
      <alignment vertical="center"/>
    </xf>
    <xf numFmtId="0" fontId="3" fillId="0" borderId="9" xfId="0" applyFont="1" applyFill="1" applyBorder="1" applyAlignment="1" applyProtection="1">
      <alignment horizontal="right" vertical="center"/>
    </xf>
    <xf numFmtId="0" fontId="3" fillId="0" borderId="4" xfId="0" applyFont="1" applyFill="1" applyBorder="1" applyAlignment="1" applyProtection="1">
      <alignment horizontal="right" vertical="center"/>
    </xf>
    <xf numFmtId="3" fontId="3" fillId="0" borderId="0" xfId="0" applyNumberFormat="1" applyFont="1" applyFill="1" applyBorder="1" applyAlignment="1" applyProtection="1">
      <alignment vertical="center"/>
    </xf>
    <xf numFmtId="3" fontId="3" fillId="0" borderId="0" xfId="0" applyNumberFormat="1" applyFont="1" applyFill="1" applyAlignment="1" applyProtection="1">
      <alignment vertical="center"/>
    </xf>
    <xf numFmtId="0" fontId="2" fillId="0" borderId="9" xfId="0" applyFont="1" applyFill="1" applyBorder="1" applyAlignment="1" applyProtection="1">
      <alignment horizontal="right" vertical="center"/>
    </xf>
    <xf numFmtId="0" fontId="2" fillId="0" borderId="4" xfId="0" applyFont="1" applyFill="1" applyBorder="1" applyAlignment="1" applyProtection="1">
      <alignment horizontal="right" vertical="center"/>
    </xf>
    <xf numFmtId="10" fontId="2" fillId="0" borderId="0" xfId="0" applyNumberFormat="1" applyFont="1" applyFill="1" applyBorder="1" applyAlignment="1" applyProtection="1">
      <alignment vertical="center"/>
    </xf>
    <xf numFmtId="10" fontId="2" fillId="0" borderId="5" xfId="0" applyNumberFormat="1" applyFont="1" applyFill="1" applyBorder="1" applyAlignment="1" applyProtection="1">
      <alignment vertical="center"/>
    </xf>
    <xf numFmtId="3" fontId="3" fillId="0" borderId="0" xfId="3" applyNumberFormat="1" applyFont="1" applyFill="1" applyBorder="1" applyAlignment="1" applyProtection="1">
      <alignment vertical="center"/>
    </xf>
    <xf numFmtId="3" fontId="3" fillId="0" borderId="0" xfId="3" applyNumberFormat="1" applyFont="1" applyFill="1" applyAlignment="1" applyProtection="1">
      <alignment vertical="center"/>
    </xf>
    <xf numFmtId="4" fontId="3" fillId="0" borderId="0" xfId="0" applyNumberFormat="1" applyFont="1" applyFill="1" applyBorder="1" applyAlignment="1" applyProtection="1">
      <alignment vertical="center"/>
    </xf>
    <xf numFmtId="4" fontId="2" fillId="0" borderId="0" xfId="0" applyNumberFormat="1" applyFont="1" applyFill="1" applyBorder="1" applyAlignment="1" applyProtection="1">
      <alignment vertical="center"/>
    </xf>
    <xf numFmtId="0" fontId="3" fillId="0" borderId="12" xfId="0" applyFont="1" applyFill="1" applyBorder="1" applyAlignment="1" applyProtection="1">
      <alignment horizontal="right" vertical="center"/>
    </xf>
    <xf numFmtId="0" fontId="3" fillId="0" borderId="6" xfId="0" applyFont="1" applyFill="1" applyBorder="1" applyAlignment="1" applyProtection="1">
      <alignment horizontal="right" vertical="center"/>
    </xf>
    <xf numFmtId="4" fontId="3" fillId="0" borderId="7" xfId="0" applyNumberFormat="1" applyFont="1" applyFill="1" applyBorder="1" applyAlignment="1" applyProtection="1">
      <alignment vertical="center"/>
    </xf>
    <xf numFmtId="10" fontId="2" fillId="0" borderId="0" xfId="1" applyNumberFormat="1" applyFont="1" applyFill="1" applyBorder="1" applyAlignment="1" applyProtection="1">
      <alignment vertical="center"/>
    </xf>
    <xf numFmtId="10" fontId="3" fillId="0" borderId="0" xfId="1" applyNumberFormat="1" applyFont="1" applyFill="1" applyBorder="1" applyAlignment="1" applyProtection="1">
      <alignment vertical="center"/>
    </xf>
    <xf numFmtId="10" fontId="3" fillId="0" borderId="0" xfId="0" applyNumberFormat="1" applyFont="1" applyFill="1" applyBorder="1" applyAlignment="1" applyProtection="1">
      <alignment vertical="center"/>
    </xf>
    <xf numFmtId="0" fontId="3" fillId="0" borderId="9" xfId="0" applyNumberFormat="1" applyFont="1" applyFill="1" applyBorder="1" applyAlignment="1" applyProtection="1">
      <alignment vertical="center" wrapText="1"/>
    </xf>
    <xf numFmtId="0" fontId="3" fillId="0" borderId="0" xfId="0" applyNumberFormat="1" applyFont="1" applyFill="1" applyBorder="1" applyAlignment="1" applyProtection="1">
      <alignment vertical="center" wrapText="1"/>
    </xf>
    <xf numFmtId="10" fontId="3" fillId="0" borderId="12" xfId="1" applyNumberFormat="1" applyFont="1" applyFill="1" applyBorder="1" applyAlignment="1" applyProtection="1">
      <alignment vertical="center"/>
    </xf>
    <xf numFmtId="10" fontId="3" fillId="0" borderId="7" xfId="0" applyNumberFormat="1" applyFont="1" applyFill="1" applyBorder="1" applyAlignment="1" applyProtection="1">
      <alignment vertical="center"/>
    </xf>
    <xf numFmtId="0" fontId="3" fillId="0" borderId="0" xfId="0" applyFont="1" applyFill="1" applyAlignment="1" applyProtection="1">
      <alignment vertical="center"/>
    </xf>
    <xf numFmtId="164" fontId="3" fillId="0" borderId="0" xfId="0" applyNumberFormat="1" applyFont="1" applyFill="1" applyAlignment="1" applyProtection="1">
      <alignment vertical="center"/>
    </xf>
    <xf numFmtId="0" fontId="6" fillId="0" borderId="0" xfId="0" applyFont="1" applyFill="1" applyAlignment="1" applyProtection="1">
      <alignment vertical="center"/>
    </xf>
    <xf numFmtId="0" fontId="4" fillId="0" borderId="0" xfId="0" applyFont="1" applyFill="1" applyAlignment="1" applyProtection="1">
      <alignment vertical="center"/>
    </xf>
    <xf numFmtId="0" fontId="2" fillId="0" borderId="2" xfId="0" applyFont="1" applyFill="1" applyBorder="1" applyAlignment="1" applyProtection="1">
      <alignment vertical="center"/>
    </xf>
    <xf numFmtId="0" fontId="2" fillId="0" borderId="14" xfId="0" applyFont="1" applyFill="1" applyBorder="1" applyAlignment="1" applyProtection="1">
      <alignment horizontal="center" vertical="center"/>
    </xf>
    <xf numFmtId="0" fontId="2" fillId="0" borderId="1" xfId="0" applyFont="1" applyFill="1" applyBorder="1" applyAlignment="1" applyProtection="1">
      <alignment horizontal="center" vertical="center"/>
    </xf>
    <xf numFmtId="0" fontId="2" fillId="0" borderId="2" xfId="0" applyFont="1" applyFill="1" applyBorder="1" applyAlignment="1" applyProtection="1">
      <alignment horizontal="center" vertical="center"/>
    </xf>
    <xf numFmtId="164" fontId="2" fillId="0" borderId="13" xfId="0" applyNumberFormat="1" applyFont="1" applyFill="1" applyBorder="1" applyAlignment="1" applyProtection="1">
      <alignment horizontal="center" vertical="center"/>
    </xf>
    <xf numFmtId="0" fontId="2" fillId="0" borderId="10" xfId="0" applyFont="1" applyFill="1" applyBorder="1" applyAlignment="1" applyProtection="1">
      <alignment horizontal="left" vertical="center"/>
    </xf>
    <xf numFmtId="0" fontId="2" fillId="0" borderId="4" xfId="0" applyNumberFormat="1" applyFont="1" applyFill="1" applyBorder="1" applyAlignment="1" applyProtection="1">
      <alignment horizontal="left" vertical="center"/>
    </xf>
    <xf numFmtId="0" fontId="2" fillId="0" borderId="0" xfId="0" applyFont="1" applyFill="1" applyAlignment="1" applyProtection="1">
      <alignment vertical="center"/>
    </xf>
    <xf numFmtId="4" fontId="3" fillId="0" borderId="0" xfId="0" applyNumberFormat="1" applyFont="1" applyFill="1" applyAlignment="1" applyProtection="1">
      <alignment vertical="center"/>
    </xf>
    <xf numFmtId="4" fontId="2" fillId="0" borderId="0" xfId="0" applyNumberFormat="1" applyFont="1" applyFill="1" applyAlignment="1" applyProtection="1">
      <alignment vertical="center"/>
    </xf>
    <xf numFmtId="10" fontId="2" fillId="0" borderId="12" xfId="1" applyNumberFormat="1" applyFont="1" applyFill="1" applyBorder="1" applyAlignment="1" applyProtection="1">
      <alignment vertical="center"/>
    </xf>
    <xf numFmtId="10" fontId="2" fillId="0" borderId="7" xfId="0" applyNumberFormat="1" applyFont="1" applyFill="1" applyBorder="1" applyAlignment="1" applyProtection="1">
      <alignment vertical="center"/>
    </xf>
    <xf numFmtId="0" fontId="2" fillId="0" borderId="9" xfId="0" applyFont="1" applyFill="1" applyBorder="1" applyAlignment="1" applyProtection="1">
      <alignment vertical="center"/>
    </xf>
    <xf numFmtId="0" fontId="2" fillId="0" borderId="4" xfId="0" applyFont="1" applyFill="1" applyBorder="1" applyAlignment="1" applyProtection="1">
      <alignment vertical="center"/>
    </xf>
    <xf numFmtId="3" fontId="3" fillId="2" borderId="0" xfId="0" applyNumberFormat="1" applyFont="1" applyFill="1" applyBorder="1" applyAlignment="1" applyProtection="1">
      <alignment vertical="center"/>
    </xf>
    <xf numFmtId="3" fontId="3" fillId="2" borderId="0" xfId="0" applyNumberFormat="1" applyFont="1" applyFill="1" applyAlignment="1" applyProtection="1">
      <alignment vertical="center"/>
    </xf>
    <xf numFmtId="0" fontId="6" fillId="2" borderId="0" xfId="0" applyFont="1" applyFill="1" applyAlignment="1" applyProtection="1">
      <alignment vertical="center"/>
    </xf>
    <xf numFmtId="0" fontId="2" fillId="0" borderId="1" xfId="0" applyFont="1" applyFill="1" applyBorder="1" applyAlignment="1" applyProtection="1">
      <alignment horizontal="center" vertical="center"/>
    </xf>
    <xf numFmtId="0" fontId="2" fillId="0" borderId="2" xfId="0" applyFont="1" applyFill="1" applyBorder="1" applyAlignment="1" applyProtection="1">
      <alignment horizontal="center" vertical="center"/>
    </xf>
    <xf numFmtId="0" fontId="2" fillId="0" borderId="15" xfId="0" applyFont="1" applyFill="1" applyBorder="1" applyAlignment="1" applyProtection="1">
      <alignment horizontal="center" vertical="center"/>
    </xf>
    <xf numFmtId="3" fontId="2" fillId="0" borderId="5" xfId="0" applyNumberFormat="1" applyFont="1" applyFill="1" applyBorder="1" applyAlignment="1" applyProtection="1">
      <alignment vertical="center"/>
    </xf>
    <xf numFmtId="3" fontId="3" fillId="2" borderId="5" xfId="0" applyNumberFormat="1" applyFont="1" applyFill="1" applyBorder="1" applyAlignment="1" applyProtection="1">
      <alignment vertical="center"/>
    </xf>
    <xf numFmtId="3" fontId="3" fillId="0" borderId="5" xfId="0" applyNumberFormat="1" applyFont="1" applyFill="1" applyBorder="1" applyAlignment="1" applyProtection="1">
      <alignment vertical="center"/>
    </xf>
    <xf numFmtId="3" fontId="3" fillId="0" borderId="5" xfId="3" applyNumberFormat="1" applyFont="1" applyFill="1" applyBorder="1" applyAlignment="1" applyProtection="1">
      <alignment vertical="center"/>
    </xf>
    <xf numFmtId="4" fontId="3" fillId="0" borderId="5" xfId="0" applyNumberFormat="1" applyFont="1" applyFill="1" applyBorder="1" applyAlignment="1" applyProtection="1">
      <alignment vertical="center"/>
    </xf>
    <xf numFmtId="4" fontId="2" fillId="0" borderId="5" xfId="0" applyNumberFormat="1" applyFont="1" applyFill="1" applyBorder="1" applyAlignment="1" applyProtection="1">
      <alignment vertical="center"/>
    </xf>
    <xf numFmtId="4" fontId="3" fillId="0" borderId="8" xfId="0" applyNumberFormat="1" applyFont="1" applyFill="1" applyBorder="1" applyAlignment="1" applyProtection="1">
      <alignment vertical="center"/>
    </xf>
    <xf numFmtId="164" fontId="2" fillId="0" borderId="15" xfId="0" applyNumberFormat="1" applyFont="1" applyFill="1" applyBorder="1" applyAlignment="1" applyProtection="1">
      <alignment horizontal="center" vertical="center"/>
    </xf>
    <xf numFmtId="0" fontId="2" fillId="0" borderId="11" xfId="0" applyFont="1" applyFill="1" applyBorder="1" applyAlignment="1" applyProtection="1">
      <alignment horizontal="left" vertical="center"/>
    </xf>
    <xf numFmtId="3" fontId="2" fillId="0" borderId="10" xfId="0" applyNumberFormat="1" applyFont="1" applyFill="1" applyBorder="1" applyAlignment="1" applyProtection="1">
      <alignment vertical="center"/>
    </xf>
    <xf numFmtId="3" fontId="2" fillId="0" borderId="14" xfId="0" applyNumberFormat="1" applyFont="1" applyFill="1" applyBorder="1" applyAlignment="1" applyProtection="1">
      <alignment vertical="center"/>
    </xf>
    <xf numFmtId="10" fontId="2" fillId="0" borderId="14" xfId="1" applyNumberFormat="1" applyFont="1" applyFill="1" applyBorder="1" applyAlignment="1" applyProtection="1">
      <alignment vertical="center"/>
    </xf>
    <xf numFmtId="10" fontId="2" fillId="0" borderId="14" xfId="0" applyNumberFormat="1" applyFont="1" applyFill="1" applyBorder="1" applyAlignment="1" applyProtection="1">
      <alignment vertical="center"/>
    </xf>
    <xf numFmtId="3" fontId="2" fillId="0" borderId="3" xfId="0" applyNumberFormat="1" applyFont="1" applyFill="1" applyBorder="1" applyAlignment="1" applyProtection="1">
      <alignment vertical="center"/>
    </xf>
    <xf numFmtId="0" fontId="2" fillId="2" borderId="4" xfId="0" applyNumberFormat="1" applyFont="1" applyFill="1" applyBorder="1" applyAlignment="1" applyProtection="1">
      <alignment horizontal="left" vertical="center"/>
      <protection locked="0"/>
    </xf>
    <xf numFmtId="164" fontId="2" fillId="3" borderId="5" xfId="0" applyNumberFormat="1" applyFont="1" applyFill="1" applyBorder="1" applyAlignment="1" applyProtection="1">
      <alignment vertical="center"/>
    </xf>
    <xf numFmtId="164" fontId="3" fillId="3" borderId="5" xfId="0" applyNumberFormat="1" applyFont="1" applyFill="1" applyBorder="1" applyAlignment="1" applyProtection="1">
      <alignment vertical="center"/>
    </xf>
    <xf numFmtId="10" fontId="2" fillId="3" borderId="5" xfId="0" applyNumberFormat="1" applyFont="1" applyFill="1" applyBorder="1" applyAlignment="1" applyProtection="1">
      <alignment vertical="center"/>
    </xf>
    <xf numFmtId="166" fontId="3" fillId="3" borderId="5" xfId="0" applyNumberFormat="1" applyFont="1" applyFill="1" applyBorder="1" applyAlignment="1" applyProtection="1">
      <alignment vertical="center"/>
    </xf>
    <xf numFmtId="166" fontId="2" fillId="3" borderId="5" xfId="0" applyNumberFormat="1" applyFont="1" applyFill="1" applyBorder="1" applyAlignment="1" applyProtection="1">
      <alignment vertical="center"/>
    </xf>
    <xf numFmtId="164" fontId="2" fillId="3" borderId="3" xfId="0" applyNumberFormat="1" applyFont="1" applyFill="1" applyBorder="1" applyAlignment="1" applyProtection="1">
      <alignment vertical="center"/>
    </xf>
    <xf numFmtId="166" fontId="3" fillId="3" borderId="8" xfId="0" applyNumberFormat="1" applyFont="1" applyFill="1" applyBorder="1" applyAlignment="1" applyProtection="1">
      <alignment vertical="center"/>
    </xf>
    <xf numFmtId="0" fontId="3" fillId="0" borderId="1" xfId="0" applyFont="1" applyFill="1" applyBorder="1" applyAlignment="1" applyProtection="1">
      <alignment horizontal="center" vertical="center" wrapText="1"/>
      <protection locked="0"/>
    </xf>
    <xf numFmtId="0" fontId="3" fillId="0" borderId="15" xfId="0" applyFont="1" applyFill="1" applyBorder="1" applyAlignment="1" applyProtection="1">
      <alignment horizontal="center" vertical="center" wrapText="1"/>
      <protection locked="0"/>
    </xf>
    <xf numFmtId="0" fontId="3" fillId="0" borderId="10" xfId="0" applyFont="1" applyFill="1" applyBorder="1" applyAlignment="1" applyProtection="1">
      <alignment vertical="center"/>
    </xf>
    <xf numFmtId="0" fontId="7" fillId="0" borderId="12" xfId="0" applyFont="1" applyFill="1" applyBorder="1" applyAlignment="1" applyProtection="1">
      <alignment vertical="center"/>
    </xf>
    <xf numFmtId="0" fontId="2" fillId="2" borderId="11" xfId="0" applyFont="1" applyFill="1" applyBorder="1" applyAlignment="1" applyProtection="1">
      <alignment horizontal="center" vertical="center" wrapText="1"/>
    </xf>
    <xf numFmtId="0" fontId="2" fillId="2" borderId="6" xfId="0" applyFont="1" applyFill="1" applyBorder="1" applyAlignment="1" applyProtection="1">
      <alignment horizontal="center" vertical="center" wrapText="1"/>
    </xf>
    <xf numFmtId="0" fontId="6" fillId="0" borderId="1" xfId="0" applyFont="1" applyFill="1" applyBorder="1" applyAlignment="1" applyProtection="1">
      <alignment horizontal="center" vertical="center" wrapText="1"/>
    </xf>
    <xf numFmtId="0" fontId="6" fillId="0" borderId="15" xfId="0" applyFont="1" applyFill="1" applyBorder="1" applyAlignment="1" applyProtection="1">
      <alignment horizontal="center" vertical="center"/>
    </xf>
    <xf numFmtId="165" fontId="6" fillId="2" borderId="14" xfId="0" applyNumberFormat="1" applyFont="1" applyFill="1" applyBorder="1" applyAlignment="1" applyProtection="1">
      <alignment horizontal="center" vertical="center" wrapText="1"/>
    </xf>
    <xf numFmtId="165" fontId="6" fillId="2" borderId="11" xfId="0" applyNumberFormat="1" applyFont="1" applyFill="1" applyBorder="1" applyAlignment="1" applyProtection="1">
      <alignment horizontal="center" vertical="center"/>
    </xf>
    <xf numFmtId="0" fontId="2" fillId="0" borderId="1" xfId="0" applyFont="1" applyFill="1" applyBorder="1" applyAlignment="1" applyProtection="1">
      <alignment horizontal="center"/>
    </xf>
    <xf numFmtId="0" fontId="2" fillId="0" borderId="2" xfId="0" applyFont="1" applyFill="1" applyBorder="1" applyAlignment="1" applyProtection="1">
      <alignment horizontal="center"/>
    </xf>
    <xf numFmtId="0" fontId="2" fillId="0" borderId="15" xfId="0" applyFont="1" applyFill="1" applyBorder="1" applyAlignment="1" applyProtection="1">
      <alignment horizontal="center"/>
    </xf>
  </cellXfs>
  <cellStyles count="5">
    <cellStyle name="Prozent" xfId="1" builtinId="5"/>
    <cellStyle name="Prozent 2" xfId="2" xr:uid="{00000000-0005-0000-0000-000001000000}"/>
    <cellStyle name="Prozent 3" xfId="4" xr:uid="{00000000-0005-0000-0000-000002000000}"/>
    <cellStyle name="Standard" xfId="0" builtinId="0"/>
    <cellStyle name="Standard 2" xfId="3" xr:uid="{00000000-0005-0000-0000-000004000000}"/>
  </cellStyles>
  <dxfs count="475"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</dxfs>
  <tableStyles count="0" defaultTableStyle="TableStyleMedium2" defaultPivotStyle="PivotStyleLight16"/>
  <colors>
    <mruColors>
      <color rgb="FFF8FAF4"/>
      <color rgb="FFCCFFCC"/>
      <color rgb="FF99FFCC"/>
      <color rgb="FF66FF66"/>
      <color rgb="FF66FF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112059</xdr:colOff>
      <xdr:row>0</xdr:row>
      <xdr:rowOff>67236</xdr:rowOff>
    </xdr:from>
    <xdr:to>
      <xdr:col>11</xdr:col>
      <xdr:colOff>795618</xdr:colOff>
      <xdr:row>1</xdr:row>
      <xdr:rowOff>145677</xdr:rowOff>
    </xdr:to>
    <xdr:sp macro="[0]!EstimateReferenz" textlink="">
      <xdr:nvSpPr>
        <xdr:cNvPr id="2" name="Textfeld 1">
          <a:extLst>
            <a:ext uri="{FF2B5EF4-FFF2-40B4-BE49-F238E27FC236}">
              <a16:creationId xmlns:a16="http://schemas.microsoft.com/office/drawing/2014/main" id="{9EDD01BF-0C4D-4D02-A161-167141CFBBD8}"/>
            </a:ext>
          </a:extLst>
        </xdr:cNvPr>
        <xdr:cNvSpPr txBox="1"/>
      </xdr:nvSpPr>
      <xdr:spPr>
        <a:xfrm>
          <a:off x="9155206" y="67236"/>
          <a:ext cx="1602441" cy="26894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de-DE" sz="1100"/>
            <a:t>Referenz Punkt erstellen</a:t>
          </a:r>
        </a:p>
      </xdr:txBody>
    </xdr:sp>
    <xdr:clientData fPrintsWithSheet="0"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2">
    <outlinePr summaryBelow="0" summaryRight="0"/>
    <pageSetUpPr fitToPage="1"/>
  </sheetPr>
  <dimension ref="A1:N214"/>
  <sheetViews>
    <sheetView showGridLines="0" tabSelected="1" zoomScale="80" zoomScaleNormal="80" zoomScaleSheetLayoutView="85" workbookViewId="0">
      <pane ySplit="19" topLeftCell="A170" activePane="bottomLeft" state="frozen"/>
      <selection activeCell="B3" sqref="B3:B4"/>
      <selection pane="bottomLeft" activeCell="A170" sqref="A170"/>
    </sheetView>
  </sheetViews>
  <sheetFormatPr baseColWidth="10" defaultColWidth="11.44140625" defaultRowHeight="15" x14ac:dyDescent="0.3"/>
  <cols>
    <col min="1" max="1" width="4.88671875" style="27" bestFit="1" customWidth="1"/>
    <col min="2" max="2" width="20.44140625" style="27" bestFit="1" customWidth="1"/>
    <col min="3" max="5" width="13.6640625" style="27" customWidth="1"/>
    <col min="6" max="6" width="13.6640625" style="28" customWidth="1"/>
    <col min="7" max="7" width="13.6640625" style="27" customWidth="1"/>
    <col min="8" max="8" width="13.6640625" style="28" customWidth="1"/>
    <col min="9" max="11" width="13.6640625" style="27" customWidth="1"/>
    <col min="12" max="12" width="13.6640625" style="28" customWidth="1"/>
    <col min="13" max="13" width="7.88671875" style="27" customWidth="1"/>
    <col min="14" max="14" width="23.6640625" style="27" customWidth="1"/>
    <col min="15" max="16384" width="11.44140625" style="30"/>
  </cols>
  <sheetData>
    <row r="1" spans="1:14" x14ac:dyDescent="0.3">
      <c r="M1" s="47">
        <f>SUM('H+HotelBerlinMitte:H4HotelBerlinAlexand'!M1)</f>
        <v>1006</v>
      </c>
      <c r="N1" s="29" t="s">
        <v>28</v>
      </c>
    </row>
    <row r="2" spans="1:14" ht="15.6" thickBot="1" x14ac:dyDescent="0.35">
      <c r="M2" s="47">
        <f>SUM('H+HotelBerlinMitte:H4HotelBerlinAlexand'!M2)</f>
        <v>2132</v>
      </c>
      <c r="N2" s="29" t="s">
        <v>29</v>
      </c>
    </row>
    <row r="3" spans="1:14" s="27" customFormat="1" ht="13.5" customHeight="1" thickBot="1" x14ac:dyDescent="0.3">
      <c r="A3" s="75"/>
      <c r="B3" s="77" t="s">
        <v>160</v>
      </c>
      <c r="C3" s="83">
        <v>2021</v>
      </c>
      <c r="D3" s="84"/>
      <c r="E3" s="85"/>
      <c r="F3" s="31"/>
      <c r="G3" s="31"/>
      <c r="H3" s="31"/>
      <c r="I3" s="31"/>
      <c r="J3" s="31"/>
      <c r="K3" s="32"/>
      <c r="L3" s="32"/>
      <c r="M3" s="79" t="s">
        <v>30</v>
      </c>
      <c r="N3" s="80"/>
    </row>
    <row r="4" spans="1:14" s="27" customFormat="1" ht="14.4" thickBot="1" x14ac:dyDescent="0.35">
      <c r="A4" s="76"/>
      <c r="B4" s="78"/>
      <c r="C4" s="48" t="s">
        <v>0</v>
      </c>
      <c r="D4" s="49" t="s">
        <v>1</v>
      </c>
      <c r="E4" s="49" t="s">
        <v>31</v>
      </c>
      <c r="F4" s="35" t="s">
        <v>2</v>
      </c>
      <c r="G4" s="49" t="s">
        <v>39</v>
      </c>
      <c r="H4" s="50" t="s">
        <v>38</v>
      </c>
      <c r="I4" s="49" t="s">
        <v>3</v>
      </c>
      <c r="J4" s="49" t="s">
        <v>4</v>
      </c>
      <c r="K4" s="48" t="s">
        <v>37</v>
      </c>
      <c r="L4" s="58" t="s">
        <v>32</v>
      </c>
      <c r="M4" s="81">
        <f>IFERROR(VLOOKUP(B3,region_breakeven,2,FALSE),0)</f>
        <v>68.937226181254914</v>
      </c>
      <c r="N4" s="82"/>
    </row>
    <row r="5" spans="1:14" s="27" customFormat="1" ht="15" customHeight="1" thickBot="1" x14ac:dyDescent="0.35">
      <c r="A5" s="36" t="s">
        <v>27</v>
      </c>
      <c r="B5" s="65" t="s">
        <v>20</v>
      </c>
      <c r="C5" s="3">
        <f>SUM(C6:C8)</f>
        <v>24349070</v>
      </c>
      <c r="D5" s="3">
        <f>SUM(D6:D8)</f>
        <v>13490762</v>
      </c>
      <c r="E5" s="3">
        <f>SUM('H+HotelBerlinMitte:H4HotelBerlinAlexand'!E5)</f>
        <v>13265827</v>
      </c>
      <c r="F5" s="66">
        <f>IFERROR(SUM(F6:F8),0)</f>
        <v>-11083243</v>
      </c>
      <c r="G5" s="3">
        <f>SUM(G6:G8)</f>
        <v>12759788</v>
      </c>
      <c r="H5" s="66">
        <f>IFERROR(E5-G5,0)</f>
        <v>506039</v>
      </c>
      <c r="I5" s="20">
        <f>IFERROR(E5/C5-1,0)</f>
        <v>-0.45518136832330758</v>
      </c>
      <c r="J5" s="11">
        <f>IFERROR(E5/G5-1,0)</f>
        <v>3.9658887749545624E-2</v>
      </c>
      <c r="K5" s="51">
        <f>SUM('H+HotelBerlinMitte:H4HotelBerlinAlexand'!K5)</f>
        <v>14891846</v>
      </c>
      <c r="L5" s="66">
        <f>IFERROR(SUM(L6:L8),0)</f>
        <v>-1626019</v>
      </c>
      <c r="M5" s="73"/>
      <c r="N5" s="74"/>
    </row>
    <row r="6" spans="1:14" s="27" customFormat="1" ht="15" customHeight="1" thickBot="1" x14ac:dyDescent="0.35">
      <c r="A6" s="5"/>
      <c r="B6" s="6" t="s">
        <v>5</v>
      </c>
      <c r="C6" s="45">
        <f>SUM('H+HotelBerlinMitte:H4HotelBerlinAlexand'!C6)</f>
        <v>18803078</v>
      </c>
      <c r="D6" s="45">
        <f>SUM('H+HotelBerlinMitte:H4HotelBerlinAlexand'!D6)</f>
        <v>9999700</v>
      </c>
      <c r="E6" s="45">
        <f>SUM('H+HotelBerlinMitte:H4HotelBerlinAlexand'!E6)</f>
        <v>9626933</v>
      </c>
      <c r="F6" s="67">
        <f>IFERROR(E6-C6,0)</f>
        <v>-9176145</v>
      </c>
      <c r="G6" s="45">
        <f>SUM('H+HotelBerlinMitte:H4HotelBerlinAlexand'!G6)</f>
        <v>8221265</v>
      </c>
      <c r="H6" s="67">
        <f t="shared" ref="H6:H8" si="0">IFERROR(E6-G6,0)</f>
        <v>1405668</v>
      </c>
      <c r="I6" s="21">
        <f t="shared" ref="I6:I8" si="1">IFERROR(E6/C6-1,0)</f>
        <v>-0.48801292001235119</v>
      </c>
      <c r="J6" s="22">
        <f t="shared" ref="J6:J8" si="2">IFERROR(E6/G6-1,0)</f>
        <v>0.17097952687329743</v>
      </c>
      <c r="K6" s="52">
        <f>SUM('H+HotelBerlinMitte:H4HotelBerlinAlexand'!K6)</f>
        <v>10891551</v>
      </c>
      <c r="L6" s="67">
        <f>IFERROR(E6-K6,0)</f>
        <v>-1264618</v>
      </c>
      <c r="M6" s="73"/>
      <c r="N6" s="74"/>
    </row>
    <row r="7" spans="1:14" s="27" customFormat="1" ht="15" customHeight="1" thickBot="1" x14ac:dyDescent="0.35">
      <c r="A7" s="5"/>
      <c r="B7" s="6" t="s">
        <v>6</v>
      </c>
      <c r="C7" s="45">
        <f>SUM('H+HotelBerlinMitte:H4HotelBerlinAlexand'!C7)</f>
        <v>3719440</v>
      </c>
      <c r="D7" s="45">
        <f>SUM('H+HotelBerlinMitte:H4HotelBerlinAlexand'!D7)</f>
        <v>2321819</v>
      </c>
      <c r="E7" s="45">
        <f>SUM('H+HotelBerlinMitte:H4HotelBerlinAlexand'!E7)</f>
        <v>2399502</v>
      </c>
      <c r="F7" s="67">
        <f t="shared" ref="F7:F8" si="3">IFERROR(E7-C7,0)</f>
        <v>-1319938</v>
      </c>
      <c r="G7" s="45">
        <f>SUM('H+HotelBerlinMitte:H4HotelBerlinAlexand'!G7)</f>
        <v>2008733</v>
      </c>
      <c r="H7" s="67">
        <f t="shared" si="0"/>
        <v>390769</v>
      </c>
      <c r="I7" s="21">
        <f t="shared" si="1"/>
        <v>-0.3548754651237821</v>
      </c>
      <c r="J7" s="22">
        <f t="shared" si="2"/>
        <v>0.19453506264894349</v>
      </c>
      <c r="K7" s="52">
        <f>SUM('H+HotelBerlinMitte:H4HotelBerlinAlexand'!K7)</f>
        <v>2753514</v>
      </c>
      <c r="L7" s="67">
        <f>IFERROR(E7-K7,0)</f>
        <v>-354012</v>
      </c>
      <c r="M7" s="73"/>
      <c r="N7" s="74"/>
    </row>
    <row r="8" spans="1:14" s="27" customFormat="1" ht="15" customHeight="1" thickBot="1" x14ac:dyDescent="0.35">
      <c r="A8" s="5"/>
      <c r="B8" s="6" t="s">
        <v>7</v>
      </c>
      <c r="C8" s="45">
        <f>SUM('H+HotelBerlinMitte:H4HotelBerlinAlexand'!C8)</f>
        <v>1826552</v>
      </c>
      <c r="D8" s="45">
        <f>SUM('H+HotelBerlinMitte:H4HotelBerlinAlexand'!D8)</f>
        <v>1169243</v>
      </c>
      <c r="E8" s="45">
        <f>SUM('H+HotelBerlinMitte:H4HotelBerlinAlexand'!E8)</f>
        <v>1239392</v>
      </c>
      <c r="F8" s="67">
        <f t="shared" si="3"/>
        <v>-587160</v>
      </c>
      <c r="G8" s="45">
        <f>SUM('H+HotelBerlinMitte:H4HotelBerlinAlexand'!G8)</f>
        <v>2529790</v>
      </c>
      <c r="H8" s="67">
        <f t="shared" si="0"/>
        <v>-1290398</v>
      </c>
      <c r="I8" s="21">
        <f t="shared" si="1"/>
        <v>-0.32145813532820311</v>
      </c>
      <c r="J8" s="22">
        <f t="shared" si="2"/>
        <v>-0.51008107392313196</v>
      </c>
      <c r="K8" s="52">
        <f>SUM('H+HotelBerlinMitte:H4HotelBerlinAlexand'!K8)</f>
        <v>1246781</v>
      </c>
      <c r="L8" s="67">
        <f>IFERROR(E8-K8,0)</f>
        <v>-7389</v>
      </c>
      <c r="M8" s="73"/>
      <c r="N8" s="74"/>
    </row>
    <row r="9" spans="1:14" s="27" customFormat="1" ht="5.0999999999999996" customHeight="1" thickBot="1" x14ac:dyDescent="0.35">
      <c r="A9" s="5"/>
      <c r="B9" s="6"/>
      <c r="C9" s="7"/>
      <c r="D9" s="7"/>
      <c r="E9" s="8"/>
      <c r="F9" s="67"/>
      <c r="G9" s="7"/>
      <c r="H9" s="67"/>
      <c r="I9" s="21"/>
      <c r="J9" s="21"/>
      <c r="K9" s="53"/>
      <c r="L9" s="67"/>
      <c r="M9" s="73"/>
      <c r="N9" s="74"/>
    </row>
    <row r="10" spans="1:14" s="27" customFormat="1" ht="15" customHeight="1" thickBot="1" x14ac:dyDescent="0.35">
      <c r="A10" s="5"/>
      <c r="B10" s="6" t="s">
        <v>8</v>
      </c>
      <c r="C10" s="45">
        <f>SUM('H+HotelBerlinMitte:H4HotelBerlinAlexand'!C10)</f>
        <v>367190</v>
      </c>
      <c r="D10" s="45">
        <f>SUM('H+HotelBerlinMitte:H4HotelBerlinAlexand'!D10)</f>
        <v>367190</v>
      </c>
      <c r="E10" s="46">
        <f>SUM('H+HotelBerlinMitte:H4HotelBerlinAlexand'!E10)</f>
        <v>367190</v>
      </c>
      <c r="F10" s="67">
        <f>IFERROR(E10-C10,0)</f>
        <v>0</v>
      </c>
      <c r="G10" s="45">
        <f>SUM('H+HotelBerlinMitte:H4HotelBerlinAlexand'!G10)</f>
        <v>368196</v>
      </c>
      <c r="H10" s="67">
        <f>IFERROR(E10-G10,0)</f>
        <v>-1006</v>
      </c>
      <c r="I10" s="23"/>
      <c r="J10" s="24"/>
      <c r="K10" s="52">
        <f>SUM('H+HotelBerlinMitte:H4HotelBerlinAlexand'!K10)</f>
        <v>367190</v>
      </c>
      <c r="L10" s="67">
        <f>IFERROR(E10-K10,0)</f>
        <v>0</v>
      </c>
      <c r="M10" s="73"/>
      <c r="N10" s="74"/>
    </row>
    <row r="11" spans="1:14" s="27" customFormat="1" ht="15" customHeight="1" thickBot="1" x14ac:dyDescent="0.35">
      <c r="A11" s="5"/>
      <c r="B11" s="6" t="s">
        <v>9</v>
      </c>
      <c r="C11" s="45">
        <f>SUM('H+HotelBerlinMitte:H4HotelBerlinAlexand'!C11)</f>
        <v>194985</v>
      </c>
      <c r="D11" s="45">
        <f>SUM('H+HotelBerlinMitte:H4HotelBerlinAlexand'!D11)</f>
        <v>131091</v>
      </c>
      <c r="E11" s="46">
        <f>SUM('H+HotelBerlinMitte:H4HotelBerlinAlexand'!E11)</f>
        <v>126565</v>
      </c>
      <c r="F11" s="67">
        <f>IFERROR(E11-C11,0)</f>
        <v>-68420</v>
      </c>
      <c r="G11" s="45">
        <f>SUM('H+HotelBerlinMitte:H4HotelBerlinAlexand'!G11)</f>
        <v>108290</v>
      </c>
      <c r="H11" s="67">
        <f>IFERROR(E11-G11,0)</f>
        <v>18275</v>
      </c>
      <c r="I11" s="23"/>
      <c r="J11" s="24"/>
      <c r="K11" s="52">
        <f>SUM('H+HotelBerlinMitte:H4HotelBerlinAlexand'!K11)</f>
        <v>141365</v>
      </c>
      <c r="L11" s="67">
        <f>IFERROR(E11-K11,0)</f>
        <v>-14800</v>
      </c>
      <c r="M11" s="73"/>
      <c r="N11" s="74"/>
    </row>
    <row r="12" spans="1:14" s="38" customFormat="1" ht="15" customHeight="1" thickBot="1" x14ac:dyDescent="0.35">
      <c r="A12" s="9"/>
      <c r="B12" s="10" t="s">
        <v>10</v>
      </c>
      <c r="C12" s="11">
        <f>IFERROR(C11/C10,0)</f>
        <v>0.53101936327242028</v>
      </c>
      <c r="D12" s="11">
        <f>IFERROR(D11/D10,0)</f>
        <v>0.35701135651842369</v>
      </c>
      <c r="E12" s="11">
        <f>IFERROR(E11/E10,0)</f>
        <v>0.34468531278084913</v>
      </c>
      <c r="F12" s="68">
        <f>IFERROR(E12-C12,0)</f>
        <v>-0.18633405049157115</v>
      </c>
      <c r="G12" s="11">
        <f>IFERROR(G11/G10,0)</f>
        <v>0.29410965898597485</v>
      </c>
      <c r="H12" s="68">
        <f>IFERROR(E12-G12,0)</f>
        <v>5.0575653794874276E-2</v>
      </c>
      <c r="I12" s="20">
        <f>IFERROR(E12/C12-1,0)</f>
        <v>-0.35089878708618616</v>
      </c>
      <c r="J12" s="11">
        <f>IFERROR(E12/G12-1,0)</f>
        <v>0.17196189329261724</v>
      </c>
      <c r="K12" s="12">
        <f>IFERROR(K11/K10,0)</f>
        <v>0.38499142133500369</v>
      </c>
      <c r="L12" s="68">
        <f>IFERROR(E12-K12,0)</f>
        <v>-4.0306108554154563E-2</v>
      </c>
      <c r="M12" s="73"/>
      <c r="N12" s="74"/>
    </row>
    <row r="13" spans="1:14" s="27" customFormat="1" ht="5.0999999999999996" customHeight="1" thickBot="1" x14ac:dyDescent="0.35">
      <c r="A13" s="5"/>
      <c r="B13" s="6"/>
      <c r="C13" s="7"/>
      <c r="D13" s="13"/>
      <c r="E13" s="14"/>
      <c r="F13" s="67"/>
      <c r="G13" s="13"/>
      <c r="H13" s="67"/>
      <c r="I13" s="21"/>
      <c r="J13" s="22"/>
      <c r="K13" s="54"/>
      <c r="L13" s="67"/>
      <c r="M13" s="73"/>
      <c r="N13" s="74"/>
    </row>
    <row r="14" spans="1:14" s="27" customFormat="1" ht="15" customHeight="1" thickBot="1" x14ac:dyDescent="0.35">
      <c r="A14" s="5"/>
      <c r="B14" s="6" t="s">
        <v>11</v>
      </c>
      <c r="C14" s="45">
        <f>SUM('H+HotelBerlinMitte:H4HotelBerlinAlexand'!C14)</f>
        <v>327368</v>
      </c>
      <c r="D14" s="45">
        <f>SUM('H+HotelBerlinMitte:H4HotelBerlinAlexand'!D14)</f>
        <v>222498</v>
      </c>
      <c r="E14" s="46">
        <f>SUM('H+HotelBerlinMitte:H4HotelBerlinAlexand'!E14)</f>
        <v>213055</v>
      </c>
      <c r="F14" s="67">
        <f>IFERROR(E14-C14,0)</f>
        <v>-114313</v>
      </c>
      <c r="G14" s="45">
        <f>SUM('H+HotelBerlinMitte:H4HotelBerlinAlexand'!G14)</f>
        <v>179576</v>
      </c>
      <c r="H14" s="67">
        <f>IFERROR(E14-G14,0)</f>
        <v>33479</v>
      </c>
      <c r="I14" s="21">
        <f>IFERROR(E14/C14-1,0)</f>
        <v>-0.3491880696952665</v>
      </c>
      <c r="J14" s="22">
        <f>IFERROR(E14/G14-1,0)</f>
        <v>0.18643359914465174</v>
      </c>
      <c r="K14" s="52">
        <f>SUM('H+HotelBerlinMitte:H4HotelBerlinAlexand'!K14)</f>
        <v>239631</v>
      </c>
      <c r="L14" s="67">
        <f>IFERROR(E14-K14,0)</f>
        <v>-26576</v>
      </c>
      <c r="M14" s="73"/>
      <c r="N14" s="74"/>
    </row>
    <row r="15" spans="1:14" s="27" customFormat="1" ht="15" customHeight="1" thickBot="1" x14ac:dyDescent="0.35">
      <c r="A15" s="5"/>
      <c r="B15" s="6" t="s">
        <v>12</v>
      </c>
      <c r="C15" s="15">
        <f>IFERROR(C14/C11,0)</f>
        <v>1.6789394055953022</v>
      </c>
      <c r="D15" s="15">
        <f>IFERROR(D14/D11,0)</f>
        <v>1.697278989404307</v>
      </c>
      <c r="E15" s="39">
        <f>IFERROR(E14/E11,0)</f>
        <v>1.6833642792241141</v>
      </c>
      <c r="F15" s="69">
        <f>IFERROR(E15-C15,0)</f>
        <v>4.4248736288119428E-3</v>
      </c>
      <c r="G15" s="15">
        <f>IFERROR(G14/G11,0)</f>
        <v>1.6582879305568381</v>
      </c>
      <c r="H15" s="69">
        <f>IFERROR(E15-G15,0)</f>
        <v>2.5076348667276038E-2</v>
      </c>
      <c r="I15" s="21"/>
      <c r="J15" s="22"/>
      <c r="K15" s="55">
        <f>IFERROR(K14/K11,0)</f>
        <v>1.695122555087893</v>
      </c>
      <c r="L15" s="69">
        <f>IFERROR(E15-K15,0)</f>
        <v>-1.1758275863778866E-2</v>
      </c>
      <c r="M15" s="73"/>
      <c r="N15" s="74"/>
    </row>
    <row r="16" spans="1:14" s="27" customFormat="1" ht="5.0999999999999996" customHeight="1" thickBot="1" x14ac:dyDescent="0.35">
      <c r="A16" s="5"/>
      <c r="B16" s="6"/>
      <c r="C16" s="7"/>
      <c r="D16" s="7"/>
      <c r="E16" s="8"/>
      <c r="F16" s="69"/>
      <c r="G16" s="7"/>
      <c r="H16" s="69"/>
      <c r="I16" s="21"/>
      <c r="J16" s="22"/>
      <c r="K16" s="53"/>
      <c r="L16" s="69"/>
      <c r="M16" s="73"/>
      <c r="N16" s="74"/>
    </row>
    <row r="17" spans="1:14" s="27" customFormat="1" ht="15" customHeight="1" thickBot="1" x14ac:dyDescent="0.35">
      <c r="A17" s="5"/>
      <c r="B17" s="6" t="s">
        <v>13</v>
      </c>
      <c r="C17" s="15">
        <f>IFERROR(C6/C11,0)</f>
        <v>96.433458984024412</v>
      </c>
      <c r="D17" s="15">
        <f>IFERROR(D6/D11,0)</f>
        <v>76.28059897323233</v>
      </c>
      <c r="E17" s="39">
        <f>IFERROR(E6/E11,0)</f>
        <v>76.063153320428242</v>
      </c>
      <c r="F17" s="69">
        <f>IFERROR(E17-C17,0)</f>
        <v>-20.37030566359617</v>
      </c>
      <c r="G17" s="15">
        <f>IFERROR(G6/G11,0)</f>
        <v>75.918967587034814</v>
      </c>
      <c r="H17" s="69">
        <f>IFERROR(E17-G17,0)</f>
        <v>0.14418573339342799</v>
      </c>
      <c r="I17" s="20">
        <f>IFERROR(E17/C17-1,0)</f>
        <v>-0.21123690758589098</v>
      </c>
      <c r="J17" s="11">
        <f>IFERROR(E17/G17-1,0)</f>
        <v>1.8992056659374867E-3</v>
      </c>
      <c r="K17" s="55">
        <f>IFERROR(K6/K11,0)</f>
        <v>77.045598273971635</v>
      </c>
      <c r="L17" s="69">
        <f>IFERROR(E17-K17,0)</f>
        <v>-0.98244495354339278</v>
      </c>
      <c r="M17" s="73"/>
      <c r="N17" s="74"/>
    </row>
    <row r="18" spans="1:14" s="38" customFormat="1" ht="15" customHeight="1" thickBot="1" x14ac:dyDescent="0.35">
      <c r="A18" s="9"/>
      <c r="B18" s="10" t="s">
        <v>14</v>
      </c>
      <c r="C18" s="16">
        <f>IFERROR(C6/C10,0)</f>
        <v>51.208033987853703</v>
      </c>
      <c r="D18" s="16">
        <f>IFERROR(D6/D10,0)</f>
        <v>27.233040115471553</v>
      </c>
      <c r="E18" s="40">
        <f>IFERROR(E6/E10,0)</f>
        <v>26.217851793349492</v>
      </c>
      <c r="F18" s="70">
        <f t="shared" ref="F18:F19" si="4">IFERROR(E18-C18,0)</f>
        <v>-24.990182194504211</v>
      </c>
      <c r="G18" s="16">
        <f>IFERROR(G6/G10,0)</f>
        <v>22.328501667590089</v>
      </c>
      <c r="H18" s="70">
        <f t="shared" ref="H18:H19" si="5">IFERROR(E18-G18,0)</f>
        <v>3.8893501257594032</v>
      </c>
      <c r="I18" s="20">
        <f>IFERROR(E18/C18-1,0)</f>
        <v>-0.48801292001235119</v>
      </c>
      <c r="J18" s="11">
        <f>IFERROR(E18/G18-1,0)</f>
        <v>0.17418768996062162</v>
      </c>
      <c r="K18" s="56">
        <f>IFERROR(K6/K10,0)</f>
        <v>29.661894387102045</v>
      </c>
      <c r="L18" s="70">
        <f>IFERROR(E18-K18,0)</f>
        <v>-3.4440425937525525</v>
      </c>
      <c r="M18" s="73"/>
      <c r="N18" s="74"/>
    </row>
    <row r="19" spans="1:14" ht="15" customHeight="1" thickBot="1" x14ac:dyDescent="0.35">
      <c r="A19" s="17"/>
      <c r="B19" s="18" t="s">
        <v>34</v>
      </c>
      <c r="C19" s="19">
        <f>IFERROR(C5/C11,0)</f>
        <v>124.87663153575916</v>
      </c>
      <c r="D19" s="19">
        <f>IFERROR(D5/D11,0)</f>
        <v>102.91142793937036</v>
      </c>
      <c r="E19" s="19">
        <f>IFERROR(E5/E11,0)</f>
        <v>104.81434045747244</v>
      </c>
      <c r="F19" s="69">
        <f t="shared" si="4"/>
        <v>-20.062291078286719</v>
      </c>
      <c r="G19" s="19">
        <f>IFERROR(G5/G11,0)</f>
        <v>117.82979037768953</v>
      </c>
      <c r="H19" s="69">
        <f t="shared" si="5"/>
        <v>-13.015449920217094</v>
      </c>
      <c r="I19" s="41">
        <f>IFERROR(E19/C19-1,0)</f>
        <v>-0.16065688857519966</v>
      </c>
      <c r="J19" s="42">
        <f>IFERROR(E19/G19-1,0)</f>
        <v>-0.11045975621697701</v>
      </c>
      <c r="K19" s="57">
        <f>IFERROR(K5/K11,0)</f>
        <v>105.34323205885474</v>
      </c>
      <c r="L19" s="69">
        <f>IFERROR(E19-K19,0)</f>
        <v>-0.5288916013822984</v>
      </c>
      <c r="M19" s="73"/>
      <c r="N19" s="74"/>
    </row>
    <row r="20" spans="1:14" s="27" customFormat="1" ht="15" customHeight="1" thickBot="1" x14ac:dyDescent="0.35">
      <c r="A20" s="1"/>
      <c r="B20" s="2" t="s">
        <v>21</v>
      </c>
      <c r="C20" s="3">
        <f>SUM(C21:C23)</f>
        <v>365775.00754822075</v>
      </c>
      <c r="D20" s="3">
        <f>SUM(D21:D23)</f>
        <v>1389.1599999999985</v>
      </c>
      <c r="E20" s="4">
        <f>SUM('H+HotelBerlinMitte:H4HotelBerlinAlexand'!E20)</f>
        <v>1389.1599999999987</v>
      </c>
      <c r="F20" s="71">
        <f>IFERROR(SUM(F21:F23),0)</f>
        <v>-364385.84754822077</v>
      </c>
      <c r="G20" s="3">
        <f>SUM(G21:G23)</f>
        <v>2507973.39</v>
      </c>
      <c r="H20" s="71">
        <f>IFERROR(E20-G20,0)</f>
        <v>-2506584.23</v>
      </c>
      <c r="I20" s="20">
        <f>IFERROR(E20/C20-1,0)</f>
        <v>-0.99620214620645764</v>
      </c>
      <c r="J20" s="11">
        <f>IFERROR(E20/G20-1,0)</f>
        <v>-0.99944610257607236</v>
      </c>
      <c r="K20" s="51">
        <f>SUM('H+HotelBerlinMitte:H4HotelBerlinAlexand'!K20)</f>
        <v>1389.1599999999987</v>
      </c>
      <c r="L20" s="71">
        <f>IFERROR(SUM(L21:L23),0)</f>
        <v>0</v>
      </c>
      <c r="M20" s="73"/>
      <c r="N20" s="74"/>
    </row>
    <row r="21" spans="1:14" s="27" customFormat="1" ht="15" customHeight="1" thickBot="1" x14ac:dyDescent="0.35">
      <c r="A21" s="5"/>
      <c r="B21" s="6" t="s">
        <v>5</v>
      </c>
      <c r="C21" s="45">
        <f>SUM('H+HotelBerlinMitte:H4HotelBerlinAlexand'!C21)</f>
        <v>255050.85383219732</v>
      </c>
      <c r="D21" s="45">
        <f>SUM('H+HotelBerlinMitte:H4HotelBerlinAlexand'!D21)</f>
        <v>-1048.6100000000001</v>
      </c>
      <c r="E21" s="45">
        <f>SUM('H+HotelBerlinMitte:H4HotelBerlinAlexand'!E21)</f>
        <v>-1048.6100000000001</v>
      </c>
      <c r="F21" s="67">
        <f>IFERROR(E21-C21,0)</f>
        <v>-256099.4638321973</v>
      </c>
      <c r="G21" s="45">
        <f>SUM('H+HotelBerlinMitte:H4HotelBerlinAlexand'!G21)</f>
        <v>1666159.9300000002</v>
      </c>
      <c r="H21" s="67">
        <f t="shared" ref="H21:H23" si="6">IFERROR(E21-G21,0)</f>
        <v>-1667208.5400000003</v>
      </c>
      <c r="I21" s="21">
        <f t="shared" ref="I21:I23" si="7">IFERROR(E21/C21-1,0)</f>
        <v>-1.0041113761598692</v>
      </c>
      <c r="J21" s="22">
        <f t="shared" ref="J21:J23" si="8">IFERROR(E21/G21-1,0)</f>
        <v>-1.0006293573510678</v>
      </c>
      <c r="K21" s="52">
        <f>SUM('H+HotelBerlinMitte:H4HotelBerlinAlexand'!K21)</f>
        <v>-1048.6100000000001</v>
      </c>
      <c r="L21" s="67">
        <f>IFERROR(E21-K21,0)</f>
        <v>0</v>
      </c>
      <c r="M21" s="73"/>
      <c r="N21" s="74"/>
    </row>
    <row r="22" spans="1:14" s="27" customFormat="1" ht="15" customHeight="1" thickBot="1" x14ac:dyDescent="0.35">
      <c r="A22" s="5"/>
      <c r="B22" s="6" t="s">
        <v>6</v>
      </c>
      <c r="C22" s="45">
        <f>SUM('H+HotelBerlinMitte:H4HotelBerlinAlexand'!C22)</f>
        <v>74195.900144618208</v>
      </c>
      <c r="D22" s="45">
        <f>SUM('H+HotelBerlinMitte:H4HotelBerlinAlexand'!D22)</f>
        <v>6.0799999999999983</v>
      </c>
      <c r="E22" s="45">
        <f>SUM('H+HotelBerlinMitte:H4HotelBerlinAlexand'!E22)</f>
        <v>6.0799999999999983</v>
      </c>
      <c r="F22" s="67">
        <f t="shared" ref="F22:F23" si="9">IFERROR(E22-C22,0)</f>
        <v>-74189.820144618207</v>
      </c>
      <c r="G22" s="45">
        <f>SUM('H+HotelBerlinMitte:H4HotelBerlinAlexand'!G22)</f>
        <v>534909.65</v>
      </c>
      <c r="H22" s="67">
        <f t="shared" si="6"/>
        <v>-534903.57000000007</v>
      </c>
      <c r="I22" s="21">
        <f t="shared" si="7"/>
        <v>-0.99991805477138018</v>
      </c>
      <c r="J22" s="22">
        <f t="shared" si="8"/>
        <v>-0.99998863359447709</v>
      </c>
      <c r="K22" s="52">
        <f>SUM('H+HotelBerlinMitte:H4HotelBerlinAlexand'!K22)</f>
        <v>6.0799999999999983</v>
      </c>
      <c r="L22" s="67">
        <f>IFERROR(E22-K22,0)</f>
        <v>0</v>
      </c>
      <c r="M22" s="73"/>
      <c r="N22" s="74"/>
    </row>
    <row r="23" spans="1:14" s="27" customFormat="1" ht="15" customHeight="1" thickBot="1" x14ac:dyDescent="0.35">
      <c r="A23" s="5"/>
      <c r="B23" s="6" t="s">
        <v>7</v>
      </c>
      <c r="C23" s="45">
        <f>SUM('H+HotelBerlinMitte:H4HotelBerlinAlexand'!C23)</f>
        <v>36528.253571405257</v>
      </c>
      <c r="D23" s="45">
        <f>SUM('H+HotelBerlinMitte:H4HotelBerlinAlexand'!D23)</f>
        <v>2431.6899999999987</v>
      </c>
      <c r="E23" s="45">
        <f>SUM('H+HotelBerlinMitte:H4HotelBerlinAlexand'!E23)</f>
        <v>2431.6899999999987</v>
      </c>
      <c r="F23" s="67">
        <f t="shared" si="9"/>
        <v>-34096.563571405262</v>
      </c>
      <c r="G23" s="45">
        <f>SUM('H+HotelBerlinMitte:H4HotelBerlinAlexand'!G23)</f>
        <v>306903.81</v>
      </c>
      <c r="H23" s="67">
        <f t="shared" si="6"/>
        <v>-304472.12</v>
      </c>
      <c r="I23" s="21">
        <f t="shared" si="7"/>
        <v>-0.93342988612235345</v>
      </c>
      <c r="J23" s="22">
        <f t="shared" si="8"/>
        <v>-0.99207670312075957</v>
      </c>
      <c r="K23" s="52">
        <f>SUM('H+HotelBerlinMitte:H4HotelBerlinAlexand'!K23)</f>
        <v>2431.6899999999987</v>
      </c>
      <c r="L23" s="67">
        <f>IFERROR(E23-K23,0)</f>
        <v>0</v>
      </c>
      <c r="M23" s="73"/>
      <c r="N23" s="74"/>
    </row>
    <row r="24" spans="1:14" s="27" customFormat="1" ht="5.0999999999999996" customHeight="1" thickBot="1" x14ac:dyDescent="0.35">
      <c r="A24" s="5"/>
      <c r="B24" s="6"/>
      <c r="C24" s="7"/>
      <c r="D24" s="7"/>
      <c r="E24" s="8"/>
      <c r="F24" s="67"/>
      <c r="G24" s="7"/>
      <c r="H24" s="67"/>
      <c r="I24" s="21"/>
      <c r="J24" s="21"/>
      <c r="K24" s="53"/>
      <c r="L24" s="67"/>
      <c r="M24" s="73"/>
      <c r="N24" s="74"/>
    </row>
    <row r="25" spans="1:14" s="27" customFormat="1" ht="15" customHeight="1" thickBot="1" x14ac:dyDescent="0.35">
      <c r="A25" s="5"/>
      <c r="B25" s="6" t="s">
        <v>8</v>
      </c>
      <c r="C25" s="45">
        <f>SUM('H+HotelBerlinMitte:H4HotelBerlinAlexand'!C25)</f>
        <v>31186</v>
      </c>
      <c r="D25" s="45">
        <f>SUM('H+HotelBerlinMitte:H4HotelBerlinAlexand'!D25)</f>
        <v>31186</v>
      </c>
      <c r="E25" s="46">
        <f>SUM('H+HotelBerlinMitte:H4HotelBerlinAlexand'!E25)</f>
        <v>31186</v>
      </c>
      <c r="F25" s="67">
        <f>IFERROR(E25-C25,0)</f>
        <v>0</v>
      </c>
      <c r="G25" s="45">
        <f>SUM('H+HotelBerlinMitte:H4HotelBerlinAlexand'!G25)</f>
        <v>31186</v>
      </c>
      <c r="H25" s="67">
        <f>IFERROR(E25-G25,0)</f>
        <v>0</v>
      </c>
      <c r="I25" s="23"/>
      <c r="J25" s="24"/>
      <c r="K25" s="52">
        <f>SUM('H+HotelBerlinMitte:H4HotelBerlinAlexand'!K25)</f>
        <v>31186</v>
      </c>
      <c r="L25" s="67">
        <f>IFERROR(E25-K25,0)</f>
        <v>0</v>
      </c>
      <c r="M25" s="73"/>
      <c r="N25" s="74"/>
    </row>
    <row r="26" spans="1:14" s="27" customFormat="1" ht="15" customHeight="1" thickBot="1" x14ac:dyDescent="0.35">
      <c r="A26" s="5"/>
      <c r="B26" s="6" t="s">
        <v>9</v>
      </c>
      <c r="C26" s="45">
        <f>SUM('H+HotelBerlinMitte:H4HotelBerlinAlexand'!C26)</f>
        <v>3363</v>
      </c>
      <c r="D26" s="45">
        <f>SUM('H+HotelBerlinMitte:H4HotelBerlinAlexand'!D26)</f>
        <v>0</v>
      </c>
      <c r="E26" s="46">
        <f>SUM('H+HotelBerlinMitte:H4HotelBerlinAlexand'!E26)</f>
        <v>0</v>
      </c>
      <c r="F26" s="67">
        <f>IFERROR(E26-C26,0)</f>
        <v>-3363</v>
      </c>
      <c r="G26" s="45">
        <f>SUM('H+HotelBerlinMitte:H4HotelBerlinAlexand'!G26)</f>
        <v>22555</v>
      </c>
      <c r="H26" s="67">
        <f>IFERROR(E26-G26,0)</f>
        <v>-22555</v>
      </c>
      <c r="I26" s="23"/>
      <c r="J26" s="24"/>
      <c r="K26" s="52">
        <f>SUM('H+HotelBerlinMitte:H4HotelBerlinAlexand'!K26)</f>
        <v>0</v>
      </c>
      <c r="L26" s="67">
        <f>IFERROR(E26-K26,0)</f>
        <v>0</v>
      </c>
      <c r="M26" s="73"/>
      <c r="N26" s="74"/>
    </row>
    <row r="27" spans="1:14" s="38" customFormat="1" ht="15" customHeight="1" thickBot="1" x14ac:dyDescent="0.35">
      <c r="A27" s="9"/>
      <c r="B27" s="10" t="s">
        <v>10</v>
      </c>
      <c r="C27" s="11">
        <f>IFERROR(C26/C25,0)</f>
        <v>0.10783684986853075</v>
      </c>
      <c r="D27" s="11">
        <f>IFERROR(D26/D25,0)</f>
        <v>0</v>
      </c>
      <c r="E27" s="11">
        <f>IFERROR(E26/E25,0)</f>
        <v>0</v>
      </c>
      <c r="F27" s="68">
        <f>IFERROR(E27-C27,0)</f>
        <v>-0.10783684986853075</v>
      </c>
      <c r="G27" s="11">
        <f>IFERROR(G26/G25,0)</f>
        <v>0.72324119797344966</v>
      </c>
      <c r="H27" s="68">
        <f>IFERROR(E27-G27,0)</f>
        <v>-0.72324119797344966</v>
      </c>
      <c r="I27" s="20">
        <f>IFERROR(E27/C27-1,0)</f>
        <v>-1</v>
      </c>
      <c r="J27" s="11">
        <f>IFERROR(E27/G27-1,0)</f>
        <v>-1</v>
      </c>
      <c r="K27" s="12">
        <f>IFERROR(K26/K25,0)</f>
        <v>0</v>
      </c>
      <c r="L27" s="68">
        <f>IFERROR(E27-K27,0)</f>
        <v>0</v>
      </c>
      <c r="M27" s="73"/>
      <c r="N27" s="74"/>
    </row>
    <row r="28" spans="1:14" s="27" customFormat="1" ht="5.0999999999999996" customHeight="1" thickBot="1" x14ac:dyDescent="0.35">
      <c r="A28" s="5"/>
      <c r="B28" s="6"/>
      <c r="C28" s="7"/>
      <c r="D28" s="13"/>
      <c r="E28" s="14"/>
      <c r="F28" s="67"/>
      <c r="G28" s="13"/>
      <c r="H28" s="67"/>
      <c r="I28" s="21"/>
      <c r="J28" s="22"/>
      <c r="K28" s="54"/>
      <c r="L28" s="67"/>
      <c r="M28" s="73"/>
      <c r="N28" s="74"/>
    </row>
    <row r="29" spans="1:14" s="27" customFormat="1" ht="15" customHeight="1" thickBot="1" x14ac:dyDescent="0.35">
      <c r="A29" s="5"/>
      <c r="B29" s="6" t="s">
        <v>11</v>
      </c>
      <c r="C29" s="45">
        <f>SUM('H+HotelBerlinMitte:H4HotelBerlinAlexand'!C29)</f>
        <v>5162.1600000000017</v>
      </c>
      <c r="D29" s="45">
        <f>SUM('H+HotelBerlinMitte:H4HotelBerlinAlexand'!D29)</f>
        <v>0</v>
      </c>
      <c r="E29" s="46">
        <f>SUM('H+HotelBerlinMitte:H4HotelBerlinAlexand'!E29)</f>
        <v>0</v>
      </c>
      <c r="F29" s="67">
        <f>IFERROR(E29-C29,0)</f>
        <v>-5162.1600000000017</v>
      </c>
      <c r="G29" s="45">
        <f>SUM('H+HotelBerlinMitte:H4HotelBerlinAlexand'!G29)</f>
        <v>35790</v>
      </c>
      <c r="H29" s="67">
        <f>IFERROR(E29-G29,0)</f>
        <v>-35790</v>
      </c>
      <c r="I29" s="21"/>
      <c r="J29" s="22"/>
      <c r="K29" s="52">
        <f>SUM('H+HotelBerlinMitte:H4HotelBerlinAlexand'!K29)</f>
        <v>0</v>
      </c>
      <c r="L29" s="67">
        <f>IFERROR(E29-K29,0)</f>
        <v>0</v>
      </c>
      <c r="M29" s="73"/>
      <c r="N29" s="74"/>
    </row>
    <row r="30" spans="1:14" s="27" customFormat="1" ht="15" customHeight="1" thickBot="1" x14ac:dyDescent="0.35">
      <c r="A30" s="5"/>
      <c r="B30" s="6" t="s">
        <v>12</v>
      </c>
      <c r="C30" s="15">
        <f>IFERROR(C29/C26,0)</f>
        <v>1.5349866190900987</v>
      </c>
      <c r="D30" s="15">
        <f>IFERROR(D29/D26,0)</f>
        <v>0</v>
      </c>
      <c r="E30" s="15">
        <f>IFERROR(E29/E26,0)</f>
        <v>0</v>
      </c>
      <c r="F30" s="69">
        <f>IFERROR(E30-C30,0)</f>
        <v>-1.5349866190900987</v>
      </c>
      <c r="G30" s="15">
        <f>IFERROR(G29/G26,0)</f>
        <v>1.5867878519175349</v>
      </c>
      <c r="H30" s="69">
        <f>IFERROR(E30-G30,0)</f>
        <v>-1.5867878519175349</v>
      </c>
      <c r="I30" s="21"/>
      <c r="J30" s="22"/>
      <c r="K30" s="55">
        <f>IFERROR(K29/K26,0)</f>
        <v>0</v>
      </c>
      <c r="L30" s="69">
        <f>IFERROR(E30-K30,0)</f>
        <v>0</v>
      </c>
      <c r="M30" s="73"/>
      <c r="N30" s="74"/>
    </row>
    <row r="31" spans="1:14" s="27" customFormat="1" ht="5.0999999999999996" customHeight="1" thickBot="1" x14ac:dyDescent="0.35">
      <c r="A31" s="5"/>
      <c r="B31" s="6"/>
      <c r="C31" s="7"/>
      <c r="D31" s="13"/>
      <c r="E31" s="14"/>
      <c r="F31" s="69"/>
      <c r="G31" s="13"/>
      <c r="H31" s="69"/>
      <c r="I31" s="21"/>
      <c r="J31" s="22"/>
      <c r="K31" s="54"/>
      <c r="L31" s="69"/>
      <c r="M31" s="73"/>
      <c r="N31" s="74"/>
    </row>
    <row r="32" spans="1:14" s="27" customFormat="1" ht="15" customHeight="1" thickBot="1" x14ac:dyDescent="0.35">
      <c r="A32" s="5"/>
      <c r="B32" s="6" t="s">
        <v>13</v>
      </c>
      <c r="C32" s="15">
        <f>IFERROR(C21/C26,0)</f>
        <v>75.840277678322124</v>
      </c>
      <c r="D32" s="15">
        <f>IFERROR(D21/D26,0)</f>
        <v>0</v>
      </c>
      <c r="E32" s="15">
        <f>IFERROR(E21/E26,0)</f>
        <v>0</v>
      </c>
      <c r="F32" s="69">
        <f>IFERROR(E32-C32,0)</f>
        <v>-75.840277678322124</v>
      </c>
      <c r="G32" s="15">
        <f>IFERROR(G21/G26,0)</f>
        <v>73.870978940367991</v>
      </c>
      <c r="H32" s="69">
        <f>IFERROR(E32-G32,0)</f>
        <v>-73.870978940367991</v>
      </c>
      <c r="I32" s="21">
        <f>IFERROR(E32/C32-1,0)</f>
        <v>-1</v>
      </c>
      <c r="J32" s="22">
        <f>IFERROR(E32/G32-1,0)</f>
        <v>-1</v>
      </c>
      <c r="K32" s="55">
        <f>IFERROR(K21/K26,0)</f>
        <v>0</v>
      </c>
      <c r="L32" s="69">
        <f>IFERROR(E32-K32,0)</f>
        <v>0</v>
      </c>
      <c r="M32" s="73"/>
      <c r="N32" s="74"/>
    </row>
    <row r="33" spans="1:14" s="38" customFormat="1" ht="15" customHeight="1" thickBot="1" x14ac:dyDescent="0.35">
      <c r="A33" s="9"/>
      <c r="B33" s="10" t="s">
        <v>14</v>
      </c>
      <c r="C33" s="16">
        <f>IFERROR(C21/C25,0)</f>
        <v>8.1783766379849077</v>
      </c>
      <c r="D33" s="16">
        <f>IFERROR(D21/D25,0)</f>
        <v>-3.3624382735843013E-2</v>
      </c>
      <c r="E33" s="16">
        <f>IFERROR(E21/E25,0)</f>
        <v>-3.3624382735843013E-2</v>
      </c>
      <c r="F33" s="70">
        <f t="shared" ref="F33:F34" si="10">IFERROR(E33-C33,0)</f>
        <v>-8.2120010207207503</v>
      </c>
      <c r="G33" s="16">
        <f>IFERROR(G21/G25,0)</f>
        <v>53.426535304303215</v>
      </c>
      <c r="H33" s="70">
        <f t="shared" ref="H33:H34" si="11">IFERROR(E33-G33,0)</f>
        <v>-53.460159687039059</v>
      </c>
      <c r="I33" s="20">
        <f>IFERROR(E33/C33-1,0)</f>
        <v>-1.0041113761598692</v>
      </c>
      <c r="J33" s="11">
        <f>IFERROR(E33/G33-1,0)</f>
        <v>-1.0006293573510678</v>
      </c>
      <c r="K33" s="56">
        <f>IFERROR(K21/K25,0)</f>
        <v>-3.3624382735843013E-2</v>
      </c>
      <c r="L33" s="70">
        <f>IFERROR(E33-K33,0)</f>
        <v>0</v>
      </c>
      <c r="M33" s="73"/>
      <c r="N33" s="74"/>
    </row>
    <row r="34" spans="1:14" ht="15" customHeight="1" thickBot="1" x14ac:dyDescent="0.35">
      <c r="A34" s="17"/>
      <c r="B34" s="18" t="s">
        <v>34</v>
      </c>
      <c r="C34" s="19">
        <f>IFERROR(C20/C26,0)</f>
        <v>108.76449823021728</v>
      </c>
      <c r="D34" s="19">
        <f>IFERROR(D20/D26,0)</f>
        <v>0</v>
      </c>
      <c r="E34" s="19">
        <f>IFERROR(E20/E26,0)</f>
        <v>0</v>
      </c>
      <c r="F34" s="72">
        <f t="shared" si="10"/>
        <v>-108.76449823021728</v>
      </c>
      <c r="G34" s="19">
        <f>IFERROR(G20/G26,0)</f>
        <v>111.1936772334294</v>
      </c>
      <c r="H34" s="72">
        <f t="shared" si="11"/>
        <v>-111.1936772334294</v>
      </c>
      <c r="I34" s="25">
        <f>IFERROR(E34/C34-1,0)</f>
        <v>-1</v>
      </c>
      <c r="J34" s="26">
        <f>IFERROR(E34/G34-1,0)</f>
        <v>-1</v>
      </c>
      <c r="K34" s="57">
        <f>IFERROR(K20/K26,0)</f>
        <v>0</v>
      </c>
      <c r="L34" s="72">
        <f>IFERROR(E34-K34,0)</f>
        <v>0</v>
      </c>
      <c r="M34" s="73"/>
      <c r="N34" s="74"/>
    </row>
    <row r="35" spans="1:14" s="27" customFormat="1" ht="15" customHeight="1" thickBot="1" x14ac:dyDescent="0.35">
      <c r="A35" s="1"/>
      <c r="B35" s="2" t="s">
        <v>22</v>
      </c>
      <c r="C35" s="3">
        <f>SUM(C36:C38)</f>
        <v>359020.68699332402</v>
      </c>
      <c r="D35" s="3">
        <f>SUM(D36:D38)</f>
        <v>25289.5</v>
      </c>
      <c r="E35" s="4">
        <f>SUM('H+HotelBerlinMitte:H4HotelBerlinAlexand'!E35)</f>
        <v>25289.5</v>
      </c>
      <c r="F35" s="71">
        <f>IFERROR(SUM(F36:F38),0)</f>
        <v>-333731.18699332408</v>
      </c>
      <c r="G35" s="3">
        <f>SUM(G36:G38)</f>
        <v>2684032.0100000002</v>
      </c>
      <c r="H35" s="71">
        <f>IFERROR(E35-G35,0)</f>
        <v>-2658742.5100000002</v>
      </c>
      <c r="I35" s="20">
        <f>IFERROR(E35/C35-1,0)</f>
        <v>-0.92955976934980833</v>
      </c>
      <c r="J35" s="11">
        <f>IFERROR(E35/G35-1,0)</f>
        <v>-0.99057779493471843</v>
      </c>
      <c r="K35" s="51">
        <f>SUM('H+HotelBerlinMitte:H4HotelBerlinAlexand'!K35)</f>
        <v>25289.5</v>
      </c>
      <c r="L35" s="71">
        <f>IFERROR(SUM(L36:L38),0)</f>
        <v>0</v>
      </c>
      <c r="M35" s="73"/>
      <c r="N35" s="74"/>
    </row>
    <row r="36" spans="1:14" s="27" customFormat="1" ht="15" customHeight="1" thickBot="1" x14ac:dyDescent="0.35">
      <c r="A36" s="5"/>
      <c r="B36" s="6" t="s">
        <v>5</v>
      </c>
      <c r="C36" s="45">
        <f>SUM('H+HotelBerlinMitte:H4HotelBerlinAlexand'!C36)</f>
        <v>259828.37112950638</v>
      </c>
      <c r="D36" s="45">
        <f>SUM('H+HotelBerlinMitte:H4HotelBerlinAlexand'!D36)</f>
        <v>-92.52</v>
      </c>
      <c r="E36" s="45">
        <f>SUM('H+HotelBerlinMitte:H4HotelBerlinAlexand'!E36)</f>
        <v>-92.52</v>
      </c>
      <c r="F36" s="67">
        <f>IFERROR(E36-C36,0)</f>
        <v>-259920.89112950637</v>
      </c>
      <c r="G36" s="45">
        <f>SUM('H+HotelBerlinMitte:H4HotelBerlinAlexand'!G36)</f>
        <v>2060492.1700000002</v>
      </c>
      <c r="H36" s="67">
        <f t="shared" ref="H36:H38" si="12">IFERROR(E36-G36,0)</f>
        <v>-2060584.6900000002</v>
      </c>
      <c r="I36" s="21">
        <f t="shared" ref="I36:I38" si="13">IFERROR(E36/C36-1,0)</f>
        <v>-1.0003560812069821</v>
      </c>
      <c r="J36" s="22">
        <f t="shared" ref="J36:J38" si="14">IFERROR(E36/G36-1,0)</f>
        <v>-1.0000449018935123</v>
      </c>
      <c r="K36" s="52">
        <f>SUM('H+HotelBerlinMitte:H4HotelBerlinAlexand'!K36)</f>
        <v>-92.52</v>
      </c>
      <c r="L36" s="67">
        <f>IFERROR(E36-K36,0)</f>
        <v>0</v>
      </c>
      <c r="M36" s="73"/>
      <c r="N36" s="74"/>
    </row>
    <row r="37" spans="1:14" s="27" customFormat="1" ht="15" customHeight="1" thickBot="1" x14ac:dyDescent="0.35">
      <c r="A37" s="5"/>
      <c r="B37" s="6" t="s">
        <v>6</v>
      </c>
      <c r="C37" s="45">
        <f>SUM('H+HotelBerlinMitte:H4HotelBerlinAlexand'!C37)</f>
        <v>64372.8641805714</v>
      </c>
      <c r="D37" s="45">
        <f>SUM('H+HotelBerlinMitte:H4HotelBerlinAlexand'!D37)</f>
        <v>0</v>
      </c>
      <c r="E37" s="45">
        <f>SUM('H+HotelBerlinMitte:H4HotelBerlinAlexand'!E37)</f>
        <v>0</v>
      </c>
      <c r="F37" s="67">
        <f t="shared" ref="F37:F38" si="15">IFERROR(E37-C37,0)</f>
        <v>-64372.8641805714</v>
      </c>
      <c r="G37" s="45">
        <f>SUM('H+HotelBerlinMitte:H4HotelBerlinAlexand'!G37)</f>
        <v>431303.94</v>
      </c>
      <c r="H37" s="67">
        <f t="shared" si="12"/>
        <v>-431303.94</v>
      </c>
      <c r="I37" s="21">
        <f t="shared" si="13"/>
        <v>-1</v>
      </c>
      <c r="J37" s="22">
        <f t="shared" si="14"/>
        <v>-1</v>
      </c>
      <c r="K37" s="52">
        <f>SUM('H+HotelBerlinMitte:H4HotelBerlinAlexand'!K37)</f>
        <v>0</v>
      </c>
      <c r="L37" s="67">
        <f>IFERROR(E37-K37,0)</f>
        <v>0</v>
      </c>
      <c r="M37" s="73"/>
      <c r="N37" s="74"/>
    </row>
    <row r="38" spans="1:14" s="27" customFormat="1" ht="15" customHeight="1" thickBot="1" x14ac:dyDescent="0.35">
      <c r="A38" s="5"/>
      <c r="B38" s="6" t="s">
        <v>7</v>
      </c>
      <c r="C38" s="45">
        <f>SUM('H+HotelBerlinMitte:H4HotelBerlinAlexand'!C38)</f>
        <v>34819.451683246254</v>
      </c>
      <c r="D38" s="45">
        <f>SUM('H+HotelBerlinMitte:H4HotelBerlinAlexand'!D38)</f>
        <v>25382.02</v>
      </c>
      <c r="E38" s="45">
        <f>SUM('H+HotelBerlinMitte:H4HotelBerlinAlexand'!E38)</f>
        <v>25382.02</v>
      </c>
      <c r="F38" s="67">
        <f t="shared" si="15"/>
        <v>-9437.4316832462537</v>
      </c>
      <c r="G38" s="45">
        <f>SUM('H+HotelBerlinMitte:H4HotelBerlinAlexand'!G38)</f>
        <v>192235.90000000002</v>
      </c>
      <c r="H38" s="67">
        <f t="shared" si="12"/>
        <v>-166853.88000000003</v>
      </c>
      <c r="I38" s="21">
        <f t="shared" si="13"/>
        <v>-0.2710390665855078</v>
      </c>
      <c r="J38" s="22">
        <f t="shared" si="14"/>
        <v>-0.86796420439678545</v>
      </c>
      <c r="K38" s="52">
        <f>SUM('H+HotelBerlinMitte:H4HotelBerlinAlexand'!K38)</f>
        <v>25382.02</v>
      </c>
      <c r="L38" s="67">
        <f>IFERROR(E38-K38,0)</f>
        <v>0</v>
      </c>
      <c r="M38" s="73"/>
      <c r="N38" s="74"/>
    </row>
    <row r="39" spans="1:14" s="27" customFormat="1" ht="5.0999999999999996" customHeight="1" thickBot="1" x14ac:dyDescent="0.35">
      <c r="A39" s="5"/>
      <c r="B39" s="6"/>
      <c r="C39" s="7"/>
      <c r="D39" s="7"/>
      <c r="E39" s="8"/>
      <c r="F39" s="67"/>
      <c r="G39" s="7"/>
      <c r="H39" s="67"/>
      <c r="I39" s="21"/>
      <c r="J39" s="21"/>
      <c r="K39" s="53"/>
      <c r="L39" s="67"/>
      <c r="M39" s="73"/>
      <c r="N39" s="74"/>
    </row>
    <row r="40" spans="1:14" s="27" customFormat="1" ht="15" customHeight="1" thickBot="1" x14ac:dyDescent="0.35">
      <c r="A40" s="5"/>
      <c r="B40" s="6" t="s">
        <v>8</v>
      </c>
      <c r="C40" s="45">
        <f>SUM('H+HotelBerlinMitte:H4HotelBerlinAlexand'!C40)</f>
        <v>28168</v>
      </c>
      <c r="D40" s="45">
        <f>SUM('H+HotelBerlinMitte:H4HotelBerlinAlexand'!D40)</f>
        <v>28168</v>
      </c>
      <c r="E40" s="46">
        <f>SUM('H+HotelBerlinMitte:H4HotelBerlinAlexand'!E40)</f>
        <v>28168</v>
      </c>
      <c r="F40" s="67">
        <f>IFERROR(E40-C40,0)</f>
        <v>0</v>
      </c>
      <c r="G40" s="45">
        <f>SUM('H+HotelBerlinMitte:H4HotelBerlinAlexand'!G40)</f>
        <v>29174</v>
      </c>
      <c r="H40" s="67">
        <f>IFERROR(E40-G40,0)</f>
        <v>-1006</v>
      </c>
      <c r="I40" s="23"/>
      <c r="J40" s="24"/>
      <c r="K40" s="52">
        <f>SUM('H+HotelBerlinMitte:H4HotelBerlinAlexand'!K40)</f>
        <v>28168</v>
      </c>
      <c r="L40" s="67">
        <f>IFERROR(E40-K40,0)</f>
        <v>0</v>
      </c>
      <c r="M40" s="73"/>
      <c r="N40" s="74"/>
    </row>
    <row r="41" spans="1:14" s="27" customFormat="1" ht="15" customHeight="1" thickBot="1" x14ac:dyDescent="0.35">
      <c r="A41" s="5"/>
      <c r="B41" s="6" t="s">
        <v>9</v>
      </c>
      <c r="C41" s="45">
        <f>SUM('H+HotelBerlinMitte:H4HotelBerlinAlexand'!C41)</f>
        <v>3196</v>
      </c>
      <c r="D41" s="45">
        <f>SUM('H+HotelBerlinMitte:H4HotelBerlinAlexand'!D41)</f>
        <v>0</v>
      </c>
      <c r="E41" s="46">
        <f>SUM('H+HotelBerlinMitte:H4HotelBerlinAlexand'!E41)</f>
        <v>0</v>
      </c>
      <c r="F41" s="67">
        <f>IFERROR(E41-C41,0)</f>
        <v>-3196</v>
      </c>
      <c r="G41" s="45">
        <f>SUM('H+HotelBerlinMitte:H4HotelBerlinAlexand'!G41)</f>
        <v>23545</v>
      </c>
      <c r="H41" s="67">
        <f>IFERROR(E41-G41,0)</f>
        <v>-23545</v>
      </c>
      <c r="I41" s="23"/>
      <c r="J41" s="24"/>
      <c r="K41" s="52">
        <f>SUM('H+HotelBerlinMitte:H4HotelBerlinAlexand'!K41)</f>
        <v>0</v>
      </c>
      <c r="L41" s="67">
        <f>IFERROR(E41-K41,0)</f>
        <v>0</v>
      </c>
      <c r="M41" s="73"/>
      <c r="N41" s="74"/>
    </row>
    <row r="42" spans="1:14" s="38" customFormat="1" ht="15" customHeight="1" thickBot="1" x14ac:dyDescent="0.35">
      <c r="A42" s="9"/>
      <c r="B42" s="10" t="s">
        <v>10</v>
      </c>
      <c r="C42" s="11">
        <f>IFERROR(C41/C40,0)</f>
        <v>0.11346208463504687</v>
      </c>
      <c r="D42" s="11">
        <f>IFERROR(D41/D40,0)</f>
        <v>0</v>
      </c>
      <c r="E42" s="11">
        <f>IFERROR(E41/E40,0)</f>
        <v>0</v>
      </c>
      <c r="F42" s="68">
        <f>IFERROR(E42-C42,0)</f>
        <v>-0.11346208463504687</v>
      </c>
      <c r="G42" s="11">
        <f>IFERROR(G41/G40,0)</f>
        <v>0.80705422636594226</v>
      </c>
      <c r="H42" s="68">
        <f>IFERROR(E42-G42,0)</f>
        <v>-0.80705422636594226</v>
      </c>
      <c r="I42" s="20">
        <f>IFERROR(E42/C42-1,0)</f>
        <v>-1</v>
      </c>
      <c r="J42" s="11">
        <f>IFERROR(E42/G42-1,0)</f>
        <v>-1</v>
      </c>
      <c r="K42" s="12">
        <f>IFERROR(K41/K40,0)</f>
        <v>0</v>
      </c>
      <c r="L42" s="68">
        <f>IFERROR(E42-K42,0)</f>
        <v>0</v>
      </c>
      <c r="M42" s="73"/>
      <c r="N42" s="74"/>
    </row>
    <row r="43" spans="1:14" s="27" customFormat="1" ht="5.0999999999999996" customHeight="1" thickBot="1" x14ac:dyDescent="0.35">
      <c r="A43" s="5"/>
      <c r="B43" s="6"/>
      <c r="C43" s="7"/>
      <c r="D43" s="13"/>
      <c r="E43" s="14"/>
      <c r="F43" s="67"/>
      <c r="G43" s="13"/>
      <c r="H43" s="67"/>
      <c r="I43" s="21"/>
      <c r="J43" s="22"/>
      <c r="K43" s="54"/>
      <c r="L43" s="67"/>
      <c r="M43" s="73"/>
      <c r="N43" s="74"/>
    </row>
    <row r="44" spans="1:14" s="27" customFormat="1" ht="15" customHeight="1" thickBot="1" x14ac:dyDescent="0.35">
      <c r="A44" s="5"/>
      <c r="B44" s="6" t="s">
        <v>11</v>
      </c>
      <c r="C44" s="45">
        <f>SUM('H+HotelBerlinMitte:H4HotelBerlinAlexand'!C44)</f>
        <v>4913.75</v>
      </c>
      <c r="D44" s="45">
        <f>SUM('H+HotelBerlinMitte:H4HotelBerlinAlexand'!D44)</f>
        <v>0</v>
      </c>
      <c r="E44" s="46">
        <f>SUM('H+HotelBerlinMitte:H4HotelBerlinAlexand'!E44)</f>
        <v>0</v>
      </c>
      <c r="F44" s="67">
        <f>IFERROR(E44-C44,0)</f>
        <v>-4913.75</v>
      </c>
      <c r="G44" s="45">
        <f>SUM('H+HotelBerlinMitte:H4HotelBerlinAlexand'!G44)</f>
        <v>37536</v>
      </c>
      <c r="H44" s="67">
        <f>IFERROR(E44-G44,0)</f>
        <v>-37536</v>
      </c>
      <c r="I44" s="21"/>
      <c r="J44" s="22"/>
      <c r="K44" s="52">
        <f>SUM('H+HotelBerlinMitte:H4HotelBerlinAlexand'!K44)</f>
        <v>0</v>
      </c>
      <c r="L44" s="67">
        <f>IFERROR(E44-K44,0)</f>
        <v>0</v>
      </c>
      <c r="M44" s="73"/>
      <c r="N44" s="74"/>
    </row>
    <row r="45" spans="1:14" s="27" customFormat="1" ht="15" customHeight="1" thickBot="1" x14ac:dyDescent="0.35">
      <c r="A45" s="5"/>
      <c r="B45" s="6" t="s">
        <v>12</v>
      </c>
      <c r="C45" s="15">
        <f>IFERROR(C44/C41,0)</f>
        <v>1.5374687108886107</v>
      </c>
      <c r="D45" s="15">
        <f>IFERROR(D44/D41,0)</f>
        <v>0</v>
      </c>
      <c r="E45" s="15">
        <f>IFERROR(E44/E41,0)</f>
        <v>0</v>
      </c>
      <c r="F45" s="69">
        <f>IFERROR(E45-C45,0)</f>
        <v>-1.5374687108886107</v>
      </c>
      <c r="G45" s="15">
        <f>IFERROR(G44/G41,0)</f>
        <v>1.5942238267148015</v>
      </c>
      <c r="H45" s="69">
        <f>IFERROR(E45-G45,0)</f>
        <v>-1.5942238267148015</v>
      </c>
      <c r="I45" s="21"/>
      <c r="J45" s="22"/>
      <c r="K45" s="55">
        <f>IFERROR(K44/K41,0)</f>
        <v>0</v>
      </c>
      <c r="L45" s="69">
        <f>IFERROR(E45-K45,0)</f>
        <v>0</v>
      </c>
      <c r="M45" s="73"/>
      <c r="N45" s="74"/>
    </row>
    <row r="46" spans="1:14" s="27" customFormat="1" ht="5.0999999999999996" customHeight="1" thickBot="1" x14ac:dyDescent="0.35">
      <c r="A46" s="5"/>
      <c r="B46" s="6"/>
      <c r="C46" s="7"/>
      <c r="D46" s="13"/>
      <c r="E46" s="14"/>
      <c r="F46" s="69"/>
      <c r="G46" s="13"/>
      <c r="H46" s="69"/>
      <c r="I46" s="21"/>
      <c r="J46" s="22"/>
      <c r="K46" s="54"/>
      <c r="L46" s="69"/>
      <c r="M46" s="73"/>
      <c r="N46" s="74"/>
    </row>
    <row r="47" spans="1:14" s="27" customFormat="1" ht="15" customHeight="1" thickBot="1" x14ac:dyDescent="0.35">
      <c r="A47" s="5"/>
      <c r="B47" s="6" t="s">
        <v>13</v>
      </c>
      <c r="C47" s="15">
        <f>IFERROR(C36/C41,0)</f>
        <v>81.297988463550183</v>
      </c>
      <c r="D47" s="15">
        <f>IFERROR(D36/D41,0)</f>
        <v>0</v>
      </c>
      <c r="E47" s="15">
        <f>IFERROR(E36/E41,0)</f>
        <v>0</v>
      </c>
      <c r="F47" s="69">
        <f>IFERROR(E47-C47,0)</f>
        <v>-81.297988463550183</v>
      </c>
      <c r="G47" s="15">
        <f>IFERROR(G36/G41,0)</f>
        <v>87.512939902314727</v>
      </c>
      <c r="H47" s="69">
        <f>IFERROR(E47-G47,0)</f>
        <v>-87.512939902314727</v>
      </c>
      <c r="I47" s="21">
        <f>IFERROR(E47/C47-1,0)</f>
        <v>-1</v>
      </c>
      <c r="J47" s="22">
        <f>IFERROR(E47/G47-1,0)</f>
        <v>-1</v>
      </c>
      <c r="K47" s="55">
        <f>IFERROR(K36/K41,0)</f>
        <v>0</v>
      </c>
      <c r="L47" s="69">
        <f>IFERROR(E47-K47,0)</f>
        <v>0</v>
      </c>
      <c r="M47" s="73"/>
      <c r="N47" s="74"/>
    </row>
    <row r="48" spans="1:14" s="38" customFormat="1" ht="15" customHeight="1" thickBot="1" x14ac:dyDescent="0.35">
      <c r="A48" s="9"/>
      <c r="B48" s="10" t="s">
        <v>14</v>
      </c>
      <c r="C48" s="16">
        <f>IFERROR(C36/C40,0)</f>
        <v>9.2242392477103934</v>
      </c>
      <c r="D48" s="16">
        <f>IFERROR(D36/D40,0)</f>
        <v>-3.2845782448168133E-3</v>
      </c>
      <c r="E48" s="16">
        <f>IFERROR(E36/E40,0)</f>
        <v>-3.2845782448168133E-3</v>
      </c>
      <c r="F48" s="70">
        <f t="shared" ref="F48:F49" si="16">IFERROR(E48-C48,0)</f>
        <v>-9.2275238259552097</v>
      </c>
      <c r="G48" s="16">
        <f>IFERROR(G36/G40,0)</f>
        <v>70.627688009871804</v>
      </c>
      <c r="H48" s="70">
        <f t="shared" ref="H48:H49" si="17">IFERROR(E48-G48,0)</f>
        <v>-70.63097258811662</v>
      </c>
      <c r="I48" s="20">
        <f>IFERROR(E48/C48-1,0)</f>
        <v>-1.0003560812069821</v>
      </c>
      <c r="J48" s="11">
        <f>IFERROR(E48/G48-1,0)</f>
        <v>-1.0000465055325662</v>
      </c>
      <c r="K48" s="56">
        <f>IFERROR(K36/K40,0)</f>
        <v>-3.2845782448168133E-3</v>
      </c>
      <c r="L48" s="70">
        <f>IFERROR(E48-K48,0)</f>
        <v>0</v>
      </c>
      <c r="M48" s="73"/>
      <c r="N48" s="74"/>
    </row>
    <row r="49" spans="1:14" ht="15" customHeight="1" thickBot="1" x14ac:dyDescent="0.35">
      <c r="A49" s="17"/>
      <c r="B49" s="18" t="s">
        <v>34</v>
      </c>
      <c r="C49" s="19">
        <f>IFERROR(C35/C41,0)</f>
        <v>112.33438266374344</v>
      </c>
      <c r="D49" s="19">
        <f>IFERROR(D35/D41,0)</f>
        <v>0</v>
      </c>
      <c r="E49" s="19">
        <f>IFERROR(E35/E41,0)</f>
        <v>0</v>
      </c>
      <c r="F49" s="72">
        <f t="shared" si="16"/>
        <v>-112.33438266374344</v>
      </c>
      <c r="G49" s="19">
        <f>IFERROR(G35/G41,0)</f>
        <v>113.9958381822043</v>
      </c>
      <c r="H49" s="72">
        <f t="shared" si="17"/>
        <v>-113.9958381822043</v>
      </c>
      <c r="I49" s="25">
        <f>IFERROR(E49/C49-1,0)</f>
        <v>-1</v>
      </c>
      <c r="J49" s="26">
        <f>IFERROR(E49/G49-1,0)</f>
        <v>-1</v>
      </c>
      <c r="K49" s="57">
        <f>IFERROR(K35/K41,0)</f>
        <v>0</v>
      </c>
      <c r="L49" s="72">
        <f>IFERROR(E49-K49,0)</f>
        <v>0</v>
      </c>
      <c r="M49" s="73"/>
      <c r="N49" s="74"/>
    </row>
    <row r="50" spans="1:14" s="27" customFormat="1" ht="15" customHeight="1" thickBot="1" x14ac:dyDescent="0.35">
      <c r="A50" s="1"/>
      <c r="B50" s="2" t="s">
        <v>23</v>
      </c>
      <c r="C50" s="3">
        <f>SUM(C51:C53)</f>
        <v>901162.77248782478</v>
      </c>
      <c r="D50" s="3">
        <f>SUM(D51:D53)</f>
        <v>21777.55</v>
      </c>
      <c r="E50" s="4">
        <f>SUM('H+HotelBerlinMitte:H4HotelBerlinAlexand'!E50)</f>
        <v>21777.55</v>
      </c>
      <c r="F50" s="71">
        <f>IFERROR(SUM(F51:F53),0)</f>
        <v>-879385.22248782474</v>
      </c>
      <c r="G50" s="3">
        <f>SUM(G51:G53)</f>
        <v>2039891.2399999995</v>
      </c>
      <c r="H50" s="71">
        <f>IFERROR(E50-G50,0)</f>
        <v>-2018113.6899999995</v>
      </c>
      <c r="I50" s="20">
        <f>IFERROR(E50/C50-1,0)</f>
        <v>-0.9758339440278041</v>
      </c>
      <c r="J50" s="11">
        <f>IFERROR(E50/G50-1,0)</f>
        <v>-0.98932416122341893</v>
      </c>
      <c r="K50" s="51">
        <f>SUM('H+HotelBerlinMitte:H4HotelBerlinAlexand'!K50)</f>
        <v>21777.550000000003</v>
      </c>
      <c r="L50" s="71">
        <f>IFERROR(SUM(L51:L53),0)</f>
        <v>-3.637978807091713E-12</v>
      </c>
      <c r="M50" s="73"/>
      <c r="N50" s="74"/>
    </row>
    <row r="51" spans="1:14" s="27" customFormat="1" ht="15" customHeight="1" thickBot="1" x14ac:dyDescent="0.35">
      <c r="A51" s="5"/>
      <c r="B51" s="6" t="s">
        <v>5</v>
      </c>
      <c r="C51" s="45">
        <f>SUM('H+HotelBerlinMitte:H4HotelBerlinAlexand'!C51)</f>
        <v>545667.01775398257</v>
      </c>
      <c r="D51" s="45">
        <f>SUM('H+HotelBerlinMitte:H4HotelBerlinAlexand'!D51)</f>
        <v>468.6</v>
      </c>
      <c r="E51" s="45">
        <f>SUM('H+HotelBerlinMitte:H4HotelBerlinAlexand'!E51)</f>
        <v>468.6</v>
      </c>
      <c r="F51" s="67">
        <f>IFERROR(E51-C51,0)</f>
        <v>-545198.41775398259</v>
      </c>
      <c r="G51" s="45">
        <f>SUM('H+HotelBerlinMitte:H4HotelBerlinAlexand'!G51)</f>
        <v>766289.42999999993</v>
      </c>
      <c r="H51" s="67">
        <f t="shared" ref="H51:H53" si="18">IFERROR(E51-G51,0)</f>
        <v>-765820.83</v>
      </c>
      <c r="I51" s="21">
        <f t="shared" ref="I51:I53" si="19">IFERROR(E51/C51-1,0)</f>
        <v>-0.99914123451710757</v>
      </c>
      <c r="J51" s="22">
        <f t="shared" ref="J51:J53" si="20">IFERROR(E51/G51-1,0)</f>
        <v>-0.99938848171245165</v>
      </c>
      <c r="K51" s="52">
        <f>SUM('H+HotelBerlinMitte:H4HotelBerlinAlexand'!K51)</f>
        <v>468.6</v>
      </c>
      <c r="L51" s="67">
        <f>IFERROR(E51-K51,0)</f>
        <v>0</v>
      </c>
      <c r="M51" s="73"/>
      <c r="N51" s="74"/>
    </row>
    <row r="52" spans="1:14" s="27" customFormat="1" ht="15" customHeight="1" thickBot="1" x14ac:dyDescent="0.35">
      <c r="A52" s="5"/>
      <c r="B52" s="6" t="s">
        <v>6</v>
      </c>
      <c r="C52" s="45">
        <f>SUM('H+HotelBerlinMitte:H4HotelBerlinAlexand'!C52)</f>
        <v>208573.1638059731</v>
      </c>
      <c r="D52" s="45">
        <f>SUM('H+HotelBerlinMitte:H4HotelBerlinAlexand'!D52)</f>
        <v>208.57999999999998</v>
      </c>
      <c r="E52" s="45">
        <f>SUM('H+HotelBerlinMitte:H4HotelBerlinAlexand'!E52)</f>
        <v>208.57999999999998</v>
      </c>
      <c r="F52" s="67">
        <f t="shared" ref="F52:F53" si="21">IFERROR(E52-C52,0)</f>
        <v>-208364.58380597312</v>
      </c>
      <c r="G52" s="45">
        <f>SUM('H+HotelBerlinMitte:H4HotelBerlinAlexand'!G52)</f>
        <v>160643.74</v>
      </c>
      <c r="H52" s="67">
        <f t="shared" si="18"/>
        <v>-160435.16</v>
      </c>
      <c r="I52" s="21">
        <f t="shared" si="19"/>
        <v>-0.99899996722399997</v>
      </c>
      <c r="J52" s="22">
        <f t="shared" si="20"/>
        <v>-0.99870159895430721</v>
      </c>
      <c r="K52" s="52">
        <f>SUM('H+HotelBerlinMitte:H4HotelBerlinAlexand'!K52)</f>
        <v>208.57999999999998</v>
      </c>
      <c r="L52" s="67">
        <f>IFERROR(E52-K52,0)</f>
        <v>0</v>
      </c>
      <c r="M52" s="73"/>
      <c r="N52" s="74"/>
    </row>
    <row r="53" spans="1:14" s="27" customFormat="1" ht="15" customHeight="1" thickBot="1" x14ac:dyDescent="0.35">
      <c r="A53" s="5"/>
      <c r="B53" s="6" t="s">
        <v>7</v>
      </c>
      <c r="C53" s="45">
        <f>SUM('H+HotelBerlinMitte:H4HotelBerlinAlexand'!C53)</f>
        <v>146922.59092786902</v>
      </c>
      <c r="D53" s="45">
        <f>SUM('H+HotelBerlinMitte:H4HotelBerlinAlexand'!D53)</f>
        <v>21100.37</v>
      </c>
      <c r="E53" s="45">
        <f>SUM('H+HotelBerlinMitte:H4HotelBerlinAlexand'!E53)</f>
        <v>21100.37</v>
      </c>
      <c r="F53" s="67">
        <f t="shared" si="21"/>
        <v>-125822.22092786903</v>
      </c>
      <c r="G53" s="45">
        <f>SUM('H+HotelBerlinMitte:H4HotelBerlinAlexand'!G53)</f>
        <v>1112958.0699999996</v>
      </c>
      <c r="H53" s="67">
        <f t="shared" si="18"/>
        <v>-1091857.6999999995</v>
      </c>
      <c r="I53" s="21">
        <f t="shared" si="19"/>
        <v>-0.85638444117583568</v>
      </c>
      <c r="J53" s="22">
        <f t="shared" si="20"/>
        <v>-0.98104118154244568</v>
      </c>
      <c r="K53" s="52">
        <f>SUM('H+HotelBerlinMitte:H4HotelBerlinAlexand'!K53)</f>
        <v>21100.370000000003</v>
      </c>
      <c r="L53" s="67">
        <f>IFERROR(E53-K53,0)</f>
        <v>-3.637978807091713E-12</v>
      </c>
      <c r="M53" s="73"/>
      <c r="N53" s="74"/>
    </row>
    <row r="54" spans="1:14" s="27" customFormat="1" ht="5.0999999999999996" customHeight="1" thickBot="1" x14ac:dyDescent="0.35">
      <c r="A54" s="5"/>
      <c r="B54" s="6"/>
      <c r="C54" s="7"/>
      <c r="D54" s="7"/>
      <c r="E54" s="8"/>
      <c r="F54" s="67"/>
      <c r="G54" s="7"/>
      <c r="H54" s="67"/>
      <c r="I54" s="21"/>
      <c r="J54" s="21"/>
      <c r="K54" s="53"/>
      <c r="L54" s="67"/>
      <c r="M54" s="73"/>
      <c r="N54" s="74"/>
    </row>
    <row r="55" spans="1:14" s="27" customFormat="1" ht="15" customHeight="1" thickBot="1" x14ac:dyDescent="0.35">
      <c r="A55" s="5"/>
      <c r="B55" s="6" t="s">
        <v>8</v>
      </c>
      <c r="C55" s="45">
        <f>SUM('H+HotelBerlinMitte:H4HotelBerlinAlexand'!C55)</f>
        <v>31186</v>
      </c>
      <c r="D55" s="45">
        <f>SUM('H+HotelBerlinMitte:H4HotelBerlinAlexand'!D55)</f>
        <v>31186</v>
      </c>
      <c r="E55" s="46">
        <f>SUM('H+HotelBerlinMitte:H4HotelBerlinAlexand'!E55)</f>
        <v>31186</v>
      </c>
      <c r="F55" s="67">
        <f>IFERROR(E55-C55,0)</f>
        <v>0</v>
      </c>
      <c r="G55" s="45">
        <f>SUM('H+HotelBerlinMitte:H4HotelBerlinAlexand'!G55)</f>
        <v>31186</v>
      </c>
      <c r="H55" s="67">
        <f>IFERROR(E55-G55,0)</f>
        <v>0</v>
      </c>
      <c r="I55" s="23"/>
      <c r="J55" s="24"/>
      <c r="K55" s="52">
        <f>SUM('H+HotelBerlinMitte:H4HotelBerlinAlexand'!K55)</f>
        <v>31186</v>
      </c>
      <c r="L55" s="67">
        <f>IFERROR(E55-K55,0)</f>
        <v>0</v>
      </c>
      <c r="M55" s="73"/>
      <c r="N55" s="74"/>
    </row>
    <row r="56" spans="1:14" s="27" customFormat="1" ht="15" customHeight="1" thickBot="1" x14ac:dyDescent="0.35">
      <c r="A56" s="5"/>
      <c r="B56" s="6" t="s">
        <v>9</v>
      </c>
      <c r="C56" s="45">
        <f>SUM('H+HotelBerlinMitte:H4HotelBerlinAlexand'!C56)</f>
        <v>6188</v>
      </c>
      <c r="D56" s="45">
        <f>SUM('H+HotelBerlinMitte:H4HotelBerlinAlexand'!D56)</f>
        <v>0</v>
      </c>
      <c r="E56" s="46">
        <f>SUM('H+HotelBerlinMitte:H4HotelBerlinAlexand'!E56)</f>
        <v>0</v>
      </c>
      <c r="F56" s="67">
        <f>IFERROR(E56-C56,0)</f>
        <v>-6188</v>
      </c>
      <c r="G56" s="45">
        <f>SUM('H+HotelBerlinMitte:H4HotelBerlinAlexand'!G56)</f>
        <v>7775</v>
      </c>
      <c r="H56" s="67">
        <f>IFERROR(E56-G56,0)</f>
        <v>-7775</v>
      </c>
      <c r="I56" s="23"/>
      <c r="J56" s="24"/>
      <c r="K56" s="52">
        <f>SUM('H+HotelBerlinMitte:H4HotelBerlinAlexand'!K56)</f>
        <v>0</v>
      </c>
      <c r="L56" s="67">
        <f>IFERROR(E56-K56,0)</f>
        <v>0</v>
      </c>
      <c r="M56" s="73"/>
      <c r="N56" s="74"/>
    </row>
    <row r="57" spans="1:14" s="38" customFormat="1" ht="15" customHeight="1" thickBot="1" x14ac:dyDescent="0.35">
      <c r="A57" s="9"/>
      <c r="B57" s="10" t="s">
        <v>10</v>
      </c>
      <c r="C57" s="11">
        <f>IFERROR(C56/C55,0)</f>
        <v>0.19842236901173604</v>
      </c>
      <c r="D57" s="11">
        <f>IFERROR(D56/D55,0)</f>
        <v>0</v>
      </c>
      <c r="E57" s="11">
        <f>IFERROR(E56/E55,0)</f>
        <v>0</v>
      </c>
      <c r="F57" s="68">
        <f>IFERROR(E57-C57,0)</f>
        <v>-0.19842236901173604</v>
      </c>
      <c r="G57" s="11">
        <f>IFERROR(G56/G55,0)</f>
        <v>0.24931058808439685</v>
      </c>
      <c r="H57" s="68">
        <f>IFERROR(E57-G57,0)</f>
        <v>-0.24931058808439685</v>
      </c>
      <c r="I57" s="20">
        <f>IFERROR(E57/C57-1,0)</f>
        <v>-1</v>
      </c>
      <c r="J57" s="11">
        <f>IFERROR(E57/G57-1,0)</f>
        <v>-1</v>
      </c>
      <c r="K57" s="12">
        <f>IFERROR(K56/K55,0)</f>
        <v>0</v>
      </c>
      <c r="L57" s="68">
        <f>IFERROR(E57-K57,0)</f>
        <v>0</v>
      </c>
      <c r="M57" s="73"/>
      <c r="N57" s="74"/>
    </row>
    <row r="58" spans="1:14" s="27" customFormat="1" ht="5.0999999999999996" customHeight="1" thickBot="1" x14ac:dyDescent="0.35">
      <c r="A58" s="5"/>
      <c r="B58" s="6"/>
      <c r="C58" s="7"/>
      <c r="D58" s="13"/>
      <c r="E58" s="14"/>
      <c r="F58" s="67"/>
      <c r="G58" s="13"/>
      <c r="H58" s="67"/>
      <c r="I58" s="21"/>
      <c r="J58" s="22"/>
      <c r="K58" s="54"/>
      <c r="L58" s="67"/>
      <c r="M58" s="73"/>
      <c r="N58" s="74"/>
    </row>
    <row r="59" spans="1:14" s="27" customFormat="1" ht="15" customHeight="1" thickBot="1" x14ac:dyDescent="0.35">
      <c r="A59" s="5"/>
      <c r="B59" s="6" t="s">
        <v>11</v>
      </c>
      <c r="C59" s="45">
        <f>SUM('H+HotelBerlinMitte:H4HotelBerlinAlexand'!C59)</f>
        <v>9422.4699999999993</v>
      </c>
      <c r="D59" s="45">
        <f>SUM('H+HotelBerlinMitte:H4HotelBerlinAlexand'!D59)</f>
        <v>0</v>
      </c>
      <c r="E59" s="46">
        <f>SUM('H+HotelBerlinMitte:H4HotelBerlinAlexand'!E59)</f>
        <v>0</v>
      </c>
      <c r="F59" s="67">
        <f>IFERROR(E59-C59,0)</f>
        <v>-9422.4699999999993</v>
      </c>
      <c r="G59" s="45">
        <f>SUM('H+HotelBerlinMitte:H4HotelBerlinAlexand'!G59)</f>
        <v>12150</v>
      </c>
      <c r="H59" s="67">
        <f>IFERROR(E59-G59,0)</f>
        <v>-12150</v>
      </c>
      <c r="I59" s="21"/>
      <c r="J59" s="22"/>
      <c r="K59" s="52">
        <f>SUM('H+HotelBerlinMitte:H4HotelBerlinAlexand'!K59)</f>
        <v>0</v>
      </c>
      <c r="L59" s="67">
        <f>IFERROR(E59-K59,0)</f>
        <v>0</v>
      </c>
      <c r="M59" s="73"/>
      <c r="N59" s="74"/>
    </row>
    <row r="60" spans="1:14" s="27" customFormat="1" ht="15" customHeight="1" thickBot="1" x14ac:dyDescent="0.35">
      <c r="A60" s="5"/>
      <c r="B60" s="6" t="s">
        <v>12</v>
      </c>
      <c r="C60" s="15">
        <f>IFERROR(C59/C56,0)</f>
        <v>1.5227003878474465</v>
      </c>
      <c r="D60" s="15">
        <f>IFERROR(D59/D56,0)</f>
        <v>0</v>
      </c>
      <c r="E60" s="15">
        <f>IFERROR(E59/E56,0)</f>
        <v>0</v>
      </c>
      <c r="F60" s="69">
        <f>IFERROR(E60-C60,0)</f>
        <v>-1.5227003878474465</v>
      </c>
      <c r="G60" s="15">
        <f>IFERROR(G59/G56,0)</f>
        <v>1.562700964630225</v>
      </c>
      <c r="H60" s="69">
        <f>IFERROR(E60-G60,0)</f>
        <v>-1.562700964630225</v>
      </c>
      <c r="I60" s="21"/>
      <c r="J60" s="22"/>
      <c r="K60" s="55">
        <f>IFERROR(K59/K56,0)</f>
        <v>0</v>
      </c>
      <c r="L60" s="69">
        <f>IFERROR(E60-K60,0)</f>
        <v>0</v>
      </c>
      <c r="M60" s="73"/>
      <c r="N60" s="74"/>
    </row>
    <row r="61" spans="1:14" s="27" customFormat="1" ht="5.0999999999999996" customHeight="1" thickBot="1" x14ac:dyDescent="0.35">
      <c r="A61" s="5"/>
      <c r="B61" s="6"/>
      <c r="C61" s="7"/>
      <c r="D61" s="13"/>
      <c r="E61" s="14"/>
      <c r="F61" s="69"/>
      <c r="G61" s="13"/>
      <c r="H61" s="69"/>
      <c r="I61" s="21"/>
      <c r="J61" s="22"/>
      <c r="K61" s="54"/>
      <c r="L61" s="69"/>
      <c r="M61" s="73"/>
      <c r="N61" s="74"/>
    </row>
    <row r="62" spans="1:14" s="27" customFormat="1" ht="15" customHeight="1" thickBot="1" x14ac:dyDescent="0.35">
      <c r="A62" s="5"/>
      <c r="B62" s="6" t="s">
        <v>13</v>
      </c>
      <c r="C62" s="15">
        <f>IFERROR(C51/C56,0)</f>
        <v>88.181483153520134</v>
      </c>
      <c r="D62" s="15">
        <f>IFERROR(D51/D56,0)</f>
        <v>0</v>
      </c>
      <c r="E62" s="15">
        <f>IFERROR(E51/E56,0)</f>
        <v>0</v>
      </c>
      <c r="F62" s="69">
        <f>IFERROR(E62-C62,0)</f>
        <v>-88.181483153520134</v>
      </c>
      <c r="G62" s="15">
        <f>IFERROR(G51/G56,0)</f>
        <v>98.558126045016067</v>
      </c>
      <c r="H62" s="69">
        <f>IFERROR(E62-G62,0)</f>
        <v>-98.558126045016067</v>
      </c>
      <c r="I62" s="21">
        <f>IFERROR(E62/C62-1,0)</f>
        <v>-1</v>
      </c>
      <c r="J62" s="22">
        <f>IFERROR(E62/G62-1,0)</f>
        <v>-1</v>
      </c>
      <c r="K62" s="55">
        <f>IFERROR(K51/K56,0)</f>
        <v>0</v>
      </c>
      <c r="L62" s="69">
        <f>IFERROR(E62-K62,0)</f>
        <v>0</v>
      </c>
      <c r="M62" s="73"/>
      <c r="N62" s="74"/>
    </row>
    <row r="63" spans="1:14" s="38" customFormat="1" ht="15" customHeight="1" thickBot="1" x14ac:dyDescent="0.35">
      <c r="A63" s="9"/>
      <c r="B63" s="10" t="s">
        <v>14</v>
      </c>
      <c r="C63" s="16">
        <f>IFERROR(C51/C55,0)</f>
        <v>17.497178790289954</v>
      </c>
      <c r="D63" s="16">
        <f>IFERROR(D51/D55,0)</f>
        <v>1.5025973193099468E-2</v>
      </c>
      <c r="E63" s="16">
        <f>IFERROR(E51/E55,0)</f>
        <v>1.5025973193099468E-2</v>
      </c>
      <c r="F63" s="70">
        <f t="shared" ref="F63:F64" si="22">IFERROR(E63-C63,0)</f>
        <v>-17.482152817096853</v>
      </c>
      <c r="G63" s="16">
        <f>IFERROR(G51/G55,0)</f>
        <v>24.571584364779067</v>
      </c>
      <c r="H63" s="70">
        <f t="shared" ref="H63:H64" si="23">IFERROR(E63-G63,0)</f>
        <v>-24.556558391585966</v>
      </c>
      <c r="I63" s="20">
        <f>IFERROR(E63/C63-1,0)</f>
        <v>-0.99914123451710757</v>
      </c>
      <c r="J63" s="11">
        <f>IFERROR(E63/G63-1,0)</f>
        <v>-0.99938848171245165</v>
      </c>
      <c r="K63" s="56">
        <f>IFERROR(K51/K55,0)</f>
        <v>1.5025973193099468E-2</v>
      </c>
      <c r="L63" s="70">
        <f>IFERROR(E63-K63,0)</f>
        <v>0</v>
      </c>
      <c r="M63" s="73"/>
      <c r="N63" s="74"/>
    </row>
    <row r="64" spans="1:14" ht="15" customHeight="1" thickBot="1" x14ac:dyDescent="0.35">
      <c r="A64" s="17"/>
      <c r="B64" s="18" t="s">
        <v>34</v>
      </c>
      <c r="C64" s="19">
        <f>IFERROR(C50/C56,0)</f>
        <v>145.63070014347525</v>
      </c>
      <c r="D64" s="19">
        <f>IFERROR(D50/D56,0)</f>
        <v>0</v>
      </c>
      <c r="E64" s="19">
        <f>IFERROR(E50/E56,0)</f>
        <v>0</v>
      </c>
      <c r="F64" s="72">
        <f t="shared" si="22"/>
        <v>-145.63070014347525</v>
      </c>
      <c r="G64" s="19">
        <f>IFERROR(G50/G56,0)</f>
        <v>262.36543279742762</v>
      </c>
      <c r="H64" s="72">
        <f t="shared" si="23"/>
        <v>-262.36543279742762</v>
      </c>
      <c r="I64" s="25">
        <f>IFERROR(E64/C64-1,0)</f>
        <v>-1</v>
      </c>
      <c r="J64" s="26">
        <f>IFERROR(E64/G64-1,0)</f>
        <v>-1</v>
      </c>
      <c r="K64" s="57">
        <f>IFERROR(K50/K56,0)</f>
        <v>0</v>
      </c>
      <c r="L64" s="72">
        <f>IFERROR(E64-K64,0)</f>
        <v>0</v>
      </c>
      <c r="M64" s="73"/>
      <c r="N64" s="74"/>
    </row>
    <row r="65" spans="1:14" s="27" customFormat="1" ht="15" customHeight="1" thickBot="1" x14ac:dyDescent="0.35">
      <c r="A65" s="1"/>
      <c r="B65" s="2" t="s">
        <v>24</v>
      </c>
      <c r="C65" s="3">
        <f>SUM(C66:C68)</f>
        <v>1177382.8651996562</v>
      </c>
      <c r="D65" s="3">
        <f>SUM(D66:D68)</f>
        <v>7956.66</v>
      </c>
      <c r="E65" s="4">
        <f>SUM('H+HotelBerlinMitte:H4HotelBerlinAlexand'!E65)</f>
        <v>7956.66</v>
      </c>
      <c r="F65" s="71">
        <f>IFERROR(SUM(F66:F68),0)</f>
        <v>-1169426.2051996561</v>
      </c>
      <c r="G65" s="3">
        <f>SUM(G66:G68)</f>
        <v>133823.62</v>
      </c>
      <c r="H65" s="71">
        <f>IFERROR(E65-G65,0)</f>
        <v>-125866.95999999999</v>
      </c>
      <c r="I65" s="20">
        <f>IFERROR(E65/C65-1,0)</f>
        <v>-0.99324207933105024</v>
      </c>
      <c r="J65" s="11">
        <f>IFERROR(E65/G65-1,0)</f>
        <v>-0.94054367980779474</v>
      </c>
      <c r="K65" s="51">
        <f>SUM('H+HotelBerlinMitte:H4HotelBerlinAlexand'!K65)</f>
        <v>7956.6600000000017</v>
      </c>
      <c r="L65" s="71">
        <f>IFERROR(SUM(L66:L68),0)</f>
        <v>0</v>
      </c>
      <c r="M65" s="73"/>
      <c r="N65" s="74"/>
    </row>
    <row r="66" spans="1:14" s="27" customFormat="1" ht="15" customHeight="1" thickBot="1" x14ac:dyDescent="0.35">
      <c r="A66" s="5"/>
      <c r="B66" s="6" t="s">
        <v>5</v>
      </c>
      <c r="C66" s="45">
        <f>SUM('H+HotelBerlinMitte:H4HotelBerlinAlexand'!C66)</f>
        <v>934055.07024674583</v>
      </c>
      <c r="D66" s="45">
        <f>SUM('H+HotelBerlinMitte:H4HotelBerlinAlexand'!D66)</f>
        <v>-261.58</v>
      </c>
      <c r="E66" s="45">
        <f>SUM('H+HotelBerlinMitte:H4HotelBerlinAlexand'!E66)</f>
        <v>-261.58</v>
      </c>
      <c r="F66" s="67">
        <f>IFERROR(E66-C66,0)</f>
        <v>-934316.65024674579</v>
      </c>
      <c r="G66" s="45">
        <f>SUM('H+HotelBerlinMitte:H4HotelBerlinAlexand'!G66)</f>
        <v>61825.109999999993</v>
      </c>
      <c r="H66" s="67">
        <f t="shared" ref="H66:H68" si="24">IFERROR(E66-G66,0)</f>
        <v>-62086.689999999995</v>
      </c>
      <c r="I66" s="21">
        <f t="shared" ref="I66:I68" si="25">IFERROR(E66/C66-1,0)</f>
        <v>-1.0002800477277329</v>
      </c>
      <c r="J66" s="22">
        <f t="shared" ref="J66:J68" si="26">IFERROR(E66/G66-1,0)</f>
        <v>-1.0042309669970664</v>
      </c>
      <c r="K66" s="52">
        <f>SUM('H+HotelBerlinMitte:H4HotelBerlinAlexand'!K66)</f>
        <v>-261.58</v>
      </c>
      <c r="L66" s="67">
        <f>IFERROR(E66-K66,0)</f>
        <v>0</v>
      </c>
      <c r="M66" s="73"/>
      <c r="N66" s="74"/>
    </row>
    <row r="67" spans="1:14" s="27" customFormat="1" ht="15" customHeight="1" thickBot="1" x14ac:dyDescent="0.35">
      <c r="A67" s="5"/>
      <c r="B67" s="6" t="s">
        <v>6</v>
      </c>
      <c r="C67" s="45">
        <f>SUM('H+HotelBerlinMitte:H4HotelBerlinAlexand'!C67)</f>
        <v>166424.84186737979</v>
      </c>
      <c r="D67" s="45">
        <f>SUM('H+HotelBerlinMitte:H4HotelBerlinAlexand'!D67)</f>
        <v>-22.43</v>
      </c>
      <c r="E67" s="45">
        <f>SUM('H+HotelBerlinMitte:H4HotelBerlinAlexand'!E67)</f>
        <v>-22.43</v>
      </c>
      <c r="F67" s="67">
        <f t="shared" ref="F67:F68" si="27">IFERROR(E67-C67,0)</f>
        <v>-166447.27186737978</v>
      </c>
      <c r="G67" s="45">
        <f>SUM('H+HotelBerlinMitte:H4HotelBerlinAlexand'!G67)</f>
        <v>2813.12</v>
      </c>
      <c r="H67" s="67">
        <f t="shared" si="24"/>
        <v>-2835.5499999999997</v>
      </c>
      <c r="I67" s="21">
        <f t="shared" si="25"/>
        <v>-1.0001347755524255</v>
      </c>
      <c r="J67" s="22">
        <f t="shared" si="26"/>
        <v>-1.007973353429644</v>
      </c>
      <c r="K67" s="52">
        <f>SUM('H+HotelBerlinMitte:H4HotelBerlinAlexand'!K67)</f>
        <v>-22.43</v>
      </c>
      <c r="L67" s="67">
        <f>IFERROR(E67-K67,0)</f>
        <v>0</v>
      </c>
      <c r="M67" s="73"/>
      <c r="N67" s="74"/>
    </row>
    <row r="68" spans="1:14" s="27" customFormat="1" ht="15" customHeight="1" thickBot="1" x14ac:dyDescent="0.35">
      <c r="A68" s="5"/>
      <c r="B68" s="6" t="s">
        <v>7</v>
      </c>
      <c r="C68" s="45">
        <f>SUM('H+HotelBerlinMitte:H4HotelBerlinAlexand'!C68)</f>
        <v>76902.953085530651</v>
      </c>
      <c r="D68" s="45">
        <f>SUM('H+HotelBerlinMitte:H4HotelBerlinAlexand'!D68)</f>
        <v>8240.67</v>
      </c>
      <c r="E68" s="45">
        <f>SUM('H+HotelBerlinMitte:H4HotelBerlinAlexand'!E68)</f>
        <v>8240.67</v>
      </c>
      <c r="F68" s="67">
        <f t="shared" si="27"/>
        <v>-68662.283085530653</v>
      </c>
      <c r="G68" s="45">
        <f>SUM('H+HotelBerlinMitte:H4HotelBerlinAlexand'!G68)</f>
        <v>69185.39</v>
      </c>
      <c r="H68" s="67">
        <f t="shared" si="24"/>
        <v>-60944.72</v>
      </c>
      <c r="I68" s="21">
        <f t="shared" si="25"/>
        <v>-0.89284325673638554</v>
      </c>
      <c r="J68" s="22">
        <f t="shared" si="26"/>
        <v>-0.88089002605896993</v>
      </c>
      <c r="K68" s="52">
        <f>SUM('H+HotelBerlinMitte:H4HotelBerlinAlexand'!K68)</f>
        <v>8240.67</v>
      </c>
      <c r="L68" s="67">
        <f>IFERROR(E68-K68,0)</f>
        <v>0</v>
      </c>
      <c r="M68" s="73"/>
      <c r="N68" s="74"/>
    </row>
    <row r="69" spans="1:14" s="27" customFormat="1" ht="5.0999999999999996" customHeight="1" thickBot="1" x14ac:dyDescent="0.35">
      <c r="A69" s="5"/>
      <c r="B69" s="6"/>
      <c r="C69" s="7"/>
      <c r="D69" s="7"/>
      <c r="E69" s="8"/>
      <c r="F69" s="67"/>
      <c r="G69" s="7"/>
      <c r="H69" s="67"/>
      <c r="I69" s="21"/>
      <c r="J69" s="21"/>
      <c r="K69" s="53"/>
      <c r="L69" s="67"/>
      <c r="M69" s="73"/>
      <c r="N69" s="74"/>
    </row>
    <row r="70" spans="1:14" s="27" customFormat="1" ht="15" customHeight="1" thickBot="1" x14ac:dyDescent="0.35">
      <c r="A70" s="5"/>
      <c r="B70" s="6" t="s">
        <v>8</v>
      </c>
      <c r="C70" s="45">
        <f>SUM('H+HotelBerlinMitte:H4HotelBerlinAlexand'!C70)</f>
        <v>30180</v>
      </c>
      <c r="D70" s="45">
        <f>SUM('H+HotelBerlinMitte:H4HotelBerlinAlexand'!D70)</f>
        <v>30180</v>
      </c>
      <c r="E70" s="46">
        <f>SUM('H+HotelBerlinMitte:H4HotelBerlinAlexand'!E70)</f>
        <v>30180</v>
      </c>
      <c r="F70" s="67">
        <f>IFERROR(E70-C70,0)</f>
        <v>0</v>
      </c>
      <c r="G70" s="45">
        <f>SUM('H+HotelBerlinMitte:H4HotelBerlinAlexand'!G70)</f>
        <v>30180</v>
      </c>
      <c r="H70" s="67">
        <f>IFERROR(E70-G70,0)</f>
        <v>0</v>
      </c>
      <c r="I70" s="23"/>
      <c r="J70" s="24"/>
      <c r="K70" s="52">
        <f>SUM('H+HotelBerlinMitte:H4HotelBerlinAlexand'!K70)</f>
        <v>30180</v>
      </c>
      <c r="L70" s="67">
        <f>IFERROR(E70-K70,0)</f>
        <v>0</v>
      </c>
      <c r="M70" s="73"/>
      <c r="N70" s="74"/>
    </row>
    <row r="71" spans="1:14" s="27" customFormat="1" ht="15" customHeight="1" thickBot="1" x14ac:dyDescent="0.35">
      <c r="A71" s="5"/>
      <c r="B71" s="6" t="s">
        <v>9</v>
      </c>
      <c r="C71" s="45">
        <f>SUM('H+HotelBerlinMitte:H4HotelBerlinAlexand'!C71)</f>
        <v>9906</v>
      </c>
      <c r="D71" s="45">
        <f>SUM('H+HotelBerlinMitte:H4HotelBerlinAlexand'!D71)</f>
        <v>0</v>
      </c>
      <c r="E71" s="46">
        <f>SUM('H+HotelBerlinMitte:H4HotelBerlinAlexand'!E71)</f>
        <v>0</v>
      </c>
      <c r="F71" s="67">
        <f>IFERROR(E71-C71,0)</f>
        <v>-9906</v>
      </c>
      <c r="G71" s="45">
        <f>SUM('H+HotelBerlinMitte:H4HotelBerlinAlexand'!G71)</f>
        <v>881</v>
      </c>
      <c r="H71" s="67">
        <f>IFERROR(E71-G71,0)</f>
        <v>-881</v>
      </c>
      <c r="I71" s="23"/>
      <c r="J71" s="24"/>
      <c r="K71" s="52">
        <f>SUM('H+HotelBerlinMitte:H4HotelBerlinAlexand'!K71)</f>
        <v>0</v>
      </c>
      <c r="L71" s="67">
        <f>IFERROR(E71-K71,0)</f>
        <v>0</v>
      </c>
      <c r="M71" s="73"/>
      <c r="N71" s="74"/>
    </row>
    <row r="72" spans="1:14" s="38" customFormat="1" ht="15" customHeight="1" thickBot="1" x14ac:dyDescent="0.35">
      <c r="A72" s="9"/>
      <c r="B72" s="10" t="s">
        <v>10</v>
      </c>
      <c r="C72" s="11">
        <f>IFERROR(C71/C70,0)</f>
        <v>0.32823061630218686</v>
      </c>
      <c r="D72" s="11">
        <f>IFERROR(D71/D70,0)</f>
        <v>0</v>
      </c>
      <c r="E72" s="11">
        <f>IFERROR(E71/E70,0)</f>
        <v>0</v>
      </c>
      <c r="F72" s="68">
        <f>IFERROR(E72-C72,0)</f>
        <v>-0.32823061630218686</v>
      </c>
      <c r="G72" s="11">
        <f>IFERROR(G71/G70,0)</f>
        <v>2.9191517561298872E-2</v>
      </c>
      <c r="H72" s="68">
        <f>IFERROR(E72-G72,0)</f>
        <v>-2.9191517561298872E-2</v>
      </c>
      <c r="I72" s="20">
        <f>IFERROR(E72/C72-1,0)</f>
        <v>-1</v>
      </c>
      <c r="J72" s="11">
        <f>IFERROR(E72/G72-1,0)</f>
        <v>-1</v>
      </c>
      <c r="K72" s="12">
        <f>IFERROR(K71/K70,0)</f>
        <v>0</v>
      </c>
      <c r="L72" s="68">
        <f>IFERROR(E72-K72,0)</f>
        <v>0</v>
      </c>
      <c r="M72" s="73"/>
      <c r="N72" s="74"/>
    </row>
    <row r="73" spans="1:14" s="27" customFormat="1" ht="5.0999999999999996" customHeight="1" thickBot="1" x14ac:dyDescent="0.35">
      <c r="A73" s="5"/>
      <c r="B73" s="6"/>
      <c r="C73" s="7"/>
      <c r="D73" s="13"/>
      <c r="E73" s="14"/>
      <c r="F73" s="67"/>
      <c r="G73" s="13"/>
      <c r="H73" s="67"/>
      <c r="I73" s="21"/>
      <c r="J73" s="22"/>
      <c r="K73" s="54"/>
      <c r="L73" s="67"/>
      <c r="M73" s="73"/>
      <c r="N73" s="74"/>
    </row>
    <row r="74" spans="1:14" s="27" customFormat="1" ht="15" customHeight="1" thickBot="1" x14ac:dyDescent="0.35">
      <c r="A74" s="5"/>
      <c r="B74" s="6" t="s">
        <v>11</v>
      </c>
      <c r="C74" s="45">
        <f>SUM('H+HotelBerlinMitte:H4HotelBerlinAlexand'!C74)</f>
        <v>16440.109999999997</v>
      </c>
      <c r="D74" s="45">
        <f>SUM('H+HotelBerlinMitte:H4HotelBerlinAlexand'!D74)</f>
        <v>0</v>
      </c>
      <c r="E74" s="46">
        <f>SUM('H+HotelBerlinMitte:H4HotelBerlinAlexand'!E74)</f>
        <v>0</v>
      </c>
      <c r="F74" s="67">
        <f>IFERROR(E74-C74,0)</f>
        <v>-16440.109999999997</v>
      </c>
      <c r="G74" s="45">
        <f>SUM('H+HotelBerlinMitte:H4HotelBerlinAlexand'!G74)</f>
        <v>912</v>
      </c>
      <c r="H74" s="67">
        <f>IFERROR(E74-G74,0)</f>
        <v>-912</v>
      </c>
      <c r="I74" s="21"/>
      <c r="J74" s="22"/>
      <c r="K74" s="52">
        <f>SUM('H+HotelBerlinMitte:H4HotelBerlinAlexand'!K74)</f>
        <v>0</v>
      </c>
      <c r="L74" s="67">
        <f>IFERROR(E74-K74,0)</f>
        <v>0</v>
      </c>
      <c r="M74" s="73"/>
      <c r="N74" s="74"/>
    </row>
    <row r="75" spans="1:14" s="27" customFormat="1" ht="15" customHeight="1" thickBot="1" x14ac:dyDescent="0.35">
      <c r="A75" s="5"/>
      <c r="B75" s="6" t="s">
        <v>12</v>
      </c>
      <c r="C75" s="15">
        <f>IFERROR(C74/C71,0)</f>
        <v>1.6596113466585904</v>
      </c>
      <c r="D75" s="15">
        <f>IFERROR(D74/D71,0)</f>
        <v>0</v>
      </c>
      <c r="E75" s="15">
        <f>IFERROR(E74/E71,0)</f>
        <v>0</v>
      </c>
      <c r="F75" s="69">
        <f>IFERROR(E75-C75,0)</f>
        <v>-1.6596113466585904</v>
      </c>
      <c r="G75" s="15">
        <f>IFERROR(G74/G71,0)</f>
        <v>1.0351872871736663</v>
      </c>
      <c r="H75" s="69">
        <f>IFERROR(E75-G75,0)</f>
        <v>-1.0351872871736663</v>
      </c>
      <c r="I75" s="21"/>
      <c r="J75" s="22"/>
      <c r="K75" s="55">
        <f>IFERROR(K74/K71,0)</f>
        <v>0</v>
      </c>
      <c r="L75" s="69">
        <f>IFERROR(E75-K75,0)</f>
        <v>0</v>
      </c>
      <c r="M75" s="73"/>
      <c r="N75" s="74"/>
    </row>
    <row r="76" spans="1:14" s="27" customFormat="1" ht="5.0999999999999996" customHeight="1" thickBot="1" x14ac:dyDescent="0.35">
      <c r="A76" s="5"/>
      <c r="B76" s="6"/>
      <c r="C76" s="7"/>
      <c r="D76" s="13"/>
      <c r="E76" s="14"/>
      <c r="F76" s="69"/>
      <c r="G76" s="13"/>
      <c r="H76" s="69"/>
      <c r="I76" s="21"/>
      <c r="J76" s="22"/>
      <c r="K76" s="54"/>
      <c r="L76" s="69"/>
      <c r="M76" s="73"/>
      <c r="N76" s="74"/>
    </row>
    <row r="77" spans="1:14" s="27" customFormat="1" ht="15" customHeight="1" thickBot="1" x14ac:dyDescent="0.35">
      <c r="A77" s="5"/>
      <c r="B77" s="6" t="s">
        <v>13</v>
      </c>
      <c r="C77" s="15">
        <f>IFERROR(C66/C71,0)</f>
        <v>94.291850418609513</v>
      </c>
      <c r="D77" s="15">
        <f>IFERROR(D66/D71,0)</f>
        <v>0</v>
      </c>
      <c r="E77" s="15">
        <f>IFERROR(E66/E71,0)</f>
        <v>0</v>
      </c>
      <c r="F77" s="69">
        <f>IFERROR(E77-C77,0)</f>
        <v>-94.291850418609513</v>
      </c>
      <c r="G77" s="15">
        <f>IFERROR(G66/G71,0)</f>
        <v>70.176061293984105</v>
      </c>
      <c r="H77" s="69">
        <f>IFERROR(E77-G77,0)</f>
        <v>-70.176061293984105</v>
      </c>
      <c r="I77" s="21">
        <f>IFERROR(E77/C77-1,0)</f>
        <v>-1</v>
      </c>
      <c r="J77" s="22">
        <f>IFERROR(E77/G77-1,0)</f>
        <v>-1</v>
      </c>
      <c r="K77" s="55">
        <f>IFERROR(K66/K71,0)</f>
        <v>0</v>
      </c>
      <c r="L77" s="69">
        <f>IFERROR(E77-K77,0)</f>
        <v>0</v>
      </c>
      <c r="M77" s="73"/>
      <c r="N77" s="74"/>
    </row>
    <row r="78" spans="1:14" s="38" customFormat="1" ht="15" customHeight="1" thickBot="1" x14ac:dyDescent="0.35">
      <c r="A78" s="9"/>
      <c r="B78" s="10" t="s">
        <v>14</v>
      </c>
      <c r="C78" s="16">
        <f>IFERROR(C66/C70,0)</f>
        <v>30.949472175173817</v>
      </c>
      <c r="D78" s="16">
        <f>IFERROR(D66/D70,0)</f>
        <v>-8.667329357190192E-3</v>
      </c>
      <c r="E78" s="16">
        <f>IFERROR(E66/E70,0)</f>
        <v>-8.667329357190192E-3</v>
      </c>
      <c r="F78" s="70">
        <f t="shared" ref="F78:F79" si="28">IFERROR(E78-C78,0)</f>
        <v>-30.958139504531008</v>
      </c>
      <c r="G78" s="16">
        <f>IFERROR(G66/G70,0)</f>
        <v>2.048545725646123</v>
      </c>
      <c r="H78" s="70">
        <f t="shared" ref="H78:H79" si="29">IFERROR(E78-G78,0)</f>
        <v>-2.0572130550033134</v>
      </c>
      <c r="I78" s="20">
        <f>IFERROR(E78/C78-1,0)</f>
        <v>-1.0002800477277329</v>
      </c>
      <c r="J78" s="11">
        <f>IFERROR(E78/G78-1,0)</f>
        <v>-1.0042309669970664</v>
      </c>
      <c r="K78" s="56">
        <f>IFERROR(K66/K70,0)</f>
        <v>-8.667329357190192E-3</v>
      </c>
      <c r="L78" s="70">
        <f>IFERROR(E78-K78,0)</f>
        <v>0</v>
      </c>
      <c r="M78" s="73"/>
      <c r="N78" s="74"/>
    </row>
    <row r="79" spans="1:14" ht="15" customHeight="1" thickBot="1" x14ac:dyDescent="0.35">
      <c r="A79" s="17"/>
      <c r="B79" s="18" t="s">
        <v>34</v>
      </c>
      <c r="C79" s="19">
        <f>IFERROR(C65/C71,0)</f>
        <v>118.85552848775048</v>
      </c>
      <c r="D79" s="19">
        <f>IFERROR(D65/D71,0)</f>
        <v>0</v>
      </c>
      <c r="E79" s="19">
        <f>IFERROR(E65/E71,0)</f>
        <v>0</v>
      </c>
      <c r="F79" s="72">
        <f t="shared" si="28"/>
        <v>-118.85552848775048</v>
      </c>
      <c r="G79" s="19">
        <f>IFERROR(G65/G71,0)</f>
        <v>151.89968217934165</v>
      </c>
      <c r="H79" s="72">
        <f t="shared" si="29"/>
        <v>-151.89968217934165</v>
      </c>
      <c r="I79" s="25">
        <f>IFERROR(E79/C79-1,0)</f>
        <v>-1</v>
      </c>
      <c r="J79" s="26">
        <f>IFERROR(E79/G79-1,0)</f>
        <v>-1</v>
      </c>
      <c r="K79" s="57">
        <f>IFERROR(K65/K71,0)</f>
        <v>0</v>
      </c>
      <c r="L79" s="72">
        <f>IFERROR(E79-K79,0)</f>
        <v>0</v>
      </c>
      <c r="M79" s="73"/>
      <c r="N79" s="74"/>
    </row>
    <row r="80" spans="1:14" s="27" customFormat="1" ht="15" customHeight="1" thickBot="1" x14ac:dyDescent="0.35">
      <c r="A80" s="1"/>
      <c r="B80" s="2" t="s">
        <v>25</v>
      </c>
      <c r="C80" s="3">
        <f>SUM(C81:C83)</f>
        <v>1497965.97424643</v>
      </c>
      <c r="D80" s="3">
        <f>SUM(D81:D83)</f>
        <v>58643.34</v>
      </c>
      <c r="E80" s="4">
        <f>SUM('H+HotelBerlinMitte:H4HotelBerlinAlexand'!E80)</f>
        <v>58643.339999999989</v>
      </c>
      <c r="F80" s="71">
        <f>IFERROR(SUM(F81:F83),0)</f>
        <v>-1439322.6342464299</v>
      </c>
      <c r="G80" s="3">
        <f>SUM(G81:G83)</f>
        <v>241323.35000000003</v>
      </c>
      <c r="H80" s="71">
        <f>IFERROR(E80-G80,0)</f>
        <v>-182680.01000000004</v>
      </c>
      <c r="I80" s="20">
        <f>IFERROR(E80/C80-1,0)</f>
        <v>-0.96085135376355846</v>
      </c>
      <c r="J80" s="11">
        <f>IFERROR(E80/G80-1,0)</f>
        <v>-0.75699268222490701</v>
      </c>
      <c r="K80" s="51">
        <f>SUM('H+HotelBerlinMitte:H4HotelBerlinAlexand'!K80)</f>
        <v>58643.340000000004</v>
      </c>
      <c r="L80" s="71">
        <f>IFERROR(SUM(L81:L83),0)</f>
        <v>-7.2759576141834259E-12</v>
      </c>
      <c r="M80" s="73"/>
      <c r="N80" s="74"/>
    </row>
    <row r="81" spans="1:14" s="27" customFormat="1" ht="15" customHeight="1" thickBot="1" x14ac:dyDescent="0.35">
      <c r="A81" s="5"/>
      <c r="B81" s="6" t="s">
        <v>5</v>
      </c>
      <c r="C81" s="45">
        <f>SUM('H+HotelBerlinMitte:H4HotelBerlinAlexand'!C81)</f>
        <v>1131542.2221848983</v>
      </c>
      <c r="D81" s="45">
        <f>SUM('H+HotelBerlinMitte:H4HotelBerlinAlexand'!D81)</f>
        <v>-63.759999999999991</v>
      </c>
      <c r="E81" s="45">
        <f>SUM('H+HotelBerlinMitte:H4HotelBerlinAlexand'!E81)</f>
        <v>-63.759999999999991</v>
      </c>
      <c r="F81" s="67">
        <f>IFERROR(E81-C81,0)</f>
        <v>-1131605.9821848983</v>
      </c>
      <c r="G81" s="45">
        <f>SUM('H+HotelBerlinMitte:H4HotelBerlinAlexand'!G81)</f>
        <v>153957.66</v>
      </c>
      <c r="H81" s="67">
        <f t="shared" ref="H81:H83" si="30">IFERROR(E81-G81,0)</f>
        <v>-154021.42000000001</v>
      </c>
      <c r="I81" s="21">
        <f t="shared" ref="I81:I83" si="31">IFERROR(E81/C81-1,0)</f>
        <v>-1.0000563478752713</v>
      </c>
      <c r="J81" s="22">
        <f t="shared" ref="J81:J83" si="32">IFERROR(E81/G81-1,0)</f>
        <v>-1.0004141398355886</v>
      </c>
      <c r="K81" s="52">
        <f>SUM('H+HotelBerlinMitte:H4HotelBerlinAlexand'!K81)</f>
        <v>-63.759999999999991</v>
      </c>
      <c r="L81" s="67">
        <f>IFERROR(E81-K81,0)</f>
        <v>0</v>
      </c>
      <c r="M81" s="73"/>
      <c r="N81" s="74"/>
    </row>
    <row r="82" spans="1:14" s="27" customFormat="1" ht="15" customHeight="1" thickBot="1" x14ac:dyDescent="0.35">
      <c r="A82" s="5"/>
      <c r="B82" s="6" t="s">
        <v>6</v>
      </c>
      <c r="C82" s="45">
        <f>SUM('H+HotelBerlinMitte:H4HotelBerlinAlexand'!C82)</f>
        <v>237047.04553328871</v>
      </c>
      <c r="D82" s="45">
        <f>SUM('H+HotelBerlinMitte:H4HotelBerlinAlexand'!D82)</f>
        <v>24315.239999999998</v>
      </c>
      <c r="E82" s="45">
        <f>SUM('H+HotelBerlinMitte:H4HotelBerlinAlexand'!E82)</f>
        <v>24315.239999999998</v>
      </c>
      <c r="F82" s="67">
        <f t="shared" ref="F82:F83" si="33">IFERROR(E82-C82,0)</f>
        <v>-212731.80553328872</v>
      </c>
      <c r="G82" s="45">
        <f>SUM('H+HotelBerlinMitte:H4HotelBerlinAlexand'!G82)</f>
        <v>29858.11</v>
      </c>
      <c r="H82" s="67">
        <f t="shared" si="30"/>
        <v>-5542.8700000000026</v>
      </c>
      <c r="I82" s="21">
        <f t="shared" si="31"/>
        <v>-0.89742441233427905</v>
      </c>
      <c r="J82" s="22">
        <f t="shared" si="32"/>
        <v>-0.18564035031018378</v>
      </c>
      <c r="K82" s="52">
        <f>SUM('H+HotelBerlinMitte:H4HotelBerlinAlexand'!K82)</f>
        <v>24315.239999999998</v>
      </c>
      <c r="L82" s="67">
        <f>IFERROR(E82-K82,0)</f>
        <v>0</v>
      </c>
      <c r="M82" s="73"/>
      <c r="N82" s="74"/>
    </row>
    <row r="83" spans="1:14" s="27" customFormat="1" ht="15" customHeight="1" thickBot="1" x14ac:dyDescent="0.35">
      <c r="A83" s="5"/>
      <c r="B83" s="6" t="s">
        <v>7</v>
      </c>
      <c r="C83" s="45">
        <f>SUM('H+HotelBerlinMitte:H4HotelBerlinAlexand'!C83)</f>
        <v>129376.70652824292</v>
      </c>
      <c r="D83" s="45">
        <f>SUM('H+HotelBerlinMitte:H4HotelBerlinAlexand'!D83)</f>
        <v>34391.859999999993</v>
      </c>
      <c r="E83" s="45">
        <f>SUM('H+HotelBerlinMitte:H4HotelBerlinAlexand'!E83)</f>
        <v>34391.859999999993</v>
      </c>
      <c r="F83" s="67">
        <f t="shared" si="33"/>
        <v>-94984.846528242924</v>
      </c>
      <c r="G83" s="45">
        <f>SUM('H+HotelBerlinMitte:H4HotelBerlinAlexand'!G83)</f>
        <v>57507.58</v>
      </c>
      <c r="H83" s="67">
        <f t="shared" si="30"/>
        <v>-23115.720000000008</v>
      </c>
      <c r="I83" s="21">
        <f t="shared" si="31"/>
        <v>-0.73417270447758498</v>
      </c>
      <c r="J83" s="22">
        <f t="shared" si="32"/>
        <v>-0.401959532986782</v>
      </c>
      <c r="K83" s="52">
        <f>SUM('H+HotelBerlinMitte:H4HotelBerlinAlexand'!K83)</f>
        <v>34391.86</v>
      </c>
      <c r="L83" s="67">
        <f>IFERROR(E83-K83,0)</f>
        <v>-7.2759576141834259E-12</v>
      </c>
      <c r="M83" s="73"/>
      <c r="N83" s="74"/>
    </row>
    <row r="84" spans="1:14" s="27" customFormat="1" ht="5.0999999999999996" customHeight="1" thickBot="1" x14ac:dyDescent="0.35">
      <c r="A84" s="5"/>
      <c r="B84" s="6"/>
      <c r="C84" s="7"/>
      <c r="D84" s="7"/>
      <c r="E84" s="8"/>
      <c r="F84" s="67"/>
      <c r="G84" s="7"/>
      <c r="H84" s="67"/>
      <c r="I84" s="21"/>
      <c r="J84" s="21"/>
      <c r="K84" s="53"/>
      <c r="L84" s="67"/>
      <c r="M84" s="73"/>
      <c r="N84" s="74"/>
    </row>
    <row r="85" spans="1:14" s="27" customFormat="1" ht="15" customHeight="1" thickBot="1" x14ac:dyDescent="0.35">
      <c r="A85" s="5"/>
      <c r="B85" s="6" t="s">
        <v>8</v>
      </c>
      <c r="C85" s="45">
        <f>SUM('H+HotelBerlinMitte:H4HotelBerlinAlexand'!C85)</f>
        <v>31186</v>
      </c>
      <c r="D85" s="45">
        <f>SUM('H+HotelBerlinMitte:H4HotelBerlinAlexand'!D85)</f>
        <v>31186</v>
      </c>
      <c r="E85" s="46">
        <f>SUM('H+HotelBerlinMitte:H4HotelBerlinAlexand'!E85)</f>
        <v>31186</v>
      </c>
      <c r="F85" s="67">
        <f>IFERROR(E85-C85,0)</f>
        <v>0</v>
      </c>
      <c r="G85" s="45">
        <f>SUM('H+HotelBerlinMitte:H4HotelBerlinAlexand'!G85)</f>
        <v>31186</v>
      </c>
      <c r="H85" s="67">
        <f>IFERROR(E85-G85,0)</f>
        <v>0</v>
      </c>
      <c r="I85" s="23"/>
      <c r="J85" s="24"/>
      <c r="K85" s="52">
        <f>SUM('H+HotelBerlinMitte:H4HotelBerlinAlexand'!K85)</f>
        <v>31186</v>
      </c>
      <c r="L85" s="67">
        <f>IFERROR(E85-K85,0)</f>
        <v>0</v>
      </c>
      <c r="M85" s="73"/>
      <c r="N85" s="74"/>
    </row>
    <row r="86" spans="1:14" s="27" customFormat="1" ht="15" customHeight="1" thickBot="1" x14ac:dyDescent="0.35">
      <c r="A86" s="5"/>
      <c r="B86" s="6" t="s">
        <v>9</v>
      </c>
      <c r="C86" s="45">
        <f>SUM('H+HotelBerlinMitte:H4HotelBerlinAlexand'!C86)</f>
        <v>11170</v>
      </c>
      <c r="D86" s="45">
        <f>SUM('H+HotelBerlinMitte:H4HotelBerlinAlexand'!D86)</f>
        <v>0</v>
      </c>
      <c r="E86" s="46">
        <f>SUM('H+HotelBerlinMitte:H4HotelBerlinAlexand'!E86)</f>
        <v>0</v>
      </c>
      <c r="F86" s="67">
        <f>IFERROR(E86-C86,0)</f>
        <v>-11170</v>
      </c>
      <c r="G86" s="45">
        <f>SUM('H+HotelBerlinMitte:H4HotelBerlinAlexand'!G86)</f>
        <v>1916</v>
      </c>
      <c r="H86" s="67">
        <f>IFERROR(E86-G86,0)</f>
        <v>-1916</v>
      </c>
      <c r="I86" s="23"/>
      <c r="J86" s="24"/>
      <c r="K86" s="52">
        <f>SUM('H+HotelBerlinMitte:H4HotelBerlinAlexand'!K86)</f>
        <v>0</v>
      </c>
      <c r="L86" s="67">
        <f>IFERROR(E86-K86,0)</f>
        <v>0</v>
      </c>
      <c r="M86" s="73"/>
      <c r="N86" s="74"/>
    </row>
    <row r="87" spans="1:14" s="38" customFormat="1" ht="15" customHeight="1" thickBot="1" x14ac:dyDescent="0.35">
      <c r="A87" s="9"/>
      <c r="B87" s="10" t="s">
        <v>10</v>
      </c>
      <c r="C87" s="11">
        <f>IFERROR(C86/C85,0)</f>
        <v>0.35817353940870905</v>
      </c>
      <c r="D87" s="11">
        <f>IFERROR(D86/D85,0)</f>
        <v>0</v>
      </c>
      <c r="E87" s="11">
        <f>IFERROR(E86/E85,0)</f>
        <v>0</v>
      </c>
      <c r="F87" s="68">
        <f>IFERROR(E87-C87,0)</f>
        <v>-0.35817353940870905</v>
      </c>
      <c r="G87" s="11">
        <f>IFERROR(G86/G85,0)</f>
        <v>6.1437824664913744E-2</v>
      </c>
      <c r="H87" s="68">
        <f>IFERROR(E87-G87,0)</f>
        <v>-6.1437824664913744E-2</v>
      </c>
      <c r="I87" s="20">
        <f>IFERROR(E87/C87-1,0)</f>
        <v>-1</v>
      </c>
      <c r="J87" s="11">
        <f>IFERROR(E87/G87-1,0)</f>
        <v>-1</v>
      </c>
      <c r="K87" s="12">
        <f>IFERROR(K86/K85,0)</f>
        <v>0</v>
      </c>
      <c r="L87" s="68">
        <f>IFERROR(E87-K87,0)</f>
        <v>0</v>
      </c>
      <c r="M87" s="73"/>
      <c r="N87" s="74"/>
    </row>
    <row r="88" spans="1:14" s="27" customFormat="1" ht="5.0999999999999996" customHeight="1" thickBot="1" x14ac:dyDescent="0.35">
      <c r="A88" s="5"/>
      <c r="B88" s="6"/>
      <c r="C88" s="7"/>
      <c r="D88" s="13"/>
      <c r="E88" s="14"/>
      <c r="F88" s="67"/>
      <c r="G88" s="13"/>
      <c r="H88" s="67"/>
      <c r="I88" s="21"/>
      <c r="J88" s="22"/>
      <c r="K88" s="54"/>
      <c r="L88" s="67"/>
      <c r="M88" s="73"/>
      <c r="N88" s="74"/>
    </row>
    <row r="89" spans="1:14" s="27" customFormat="1" ht="15" customHeight="1" thickBot="1" x14ac:dyDescent="0.35">
      <c r="A89" s="5"/>
      <c r="B89" s="6" t="s">
        <v>11</v>
      </c>
      <c r="C89" s="45">
        <f>SUM('H+HotelBerlinMitte:H4HotelBerlinAlexand'!C89)</f>
        <v>18047.97</v>
      </c>
      <c r="D89" s="45">
        <f>SUM('H+HotelBerlinMitte:H4HotelBerlinAlexand'!D89)</f>
        <v>0</v>
      </c>
      <c r="E89" s="46">
        <f>SUM('H+HotelBerlinMitte:H4HotelBerlinAlexand'!E89)</f>
        <v>0</v>
      </c>
      <c r="F89" s="67">
        <f>IFERROR(E89-C89,0)</f>
        <v>-18047.97</v>
      </c>
      <c r="G89" s="45">
        <f>SUM('H+HotelBerlinMitte:H4HotelBerlinAlexand'!G89)</f>
        <v>2437</v>
      </c>
      <c r="H89" s="67">
        <f>IFERROR(E89-G89,0)</f>
        <v>-2437</v>
      </c>
      <c r="I89" s="21"/>
      <c r="J89" s="22"/>
      <c r="K89" s="52">
        <f>SUM('H+HotelBerlinMitte:H4HotelBerlinAlexand'!K89)</f>
        <v>0</v>
      </c>
      <c r="L89" s="67">
        <f>IFERROR(E89-K89,0)</f>
        <v>0</v>
      </c>
      <c r="M89" s="73"/>
      <c r="N89" s="74"/>
    </row>
    <row r="90" spans="1:14" s="27" customFormat="1" ht="15" customHeight="1" thickBot="1" x14ac:dyDescent="0.35">
      <c r="A90" s="5"/>
      <c r="B90" s="6" t="s">
        <v>12</v>
      </c>
      <c r="C90" s="15">
        <f>IFERROR(C89/C86,0)</f>
        <v>1.6157538048343778</v>
      </c>
      <c r="D90" s="15">
        <f>IFERROR(D89/D86,0)</f>
        <v>0</v>
      </c>
      <c r="E90" s="15">
        <f>IFERROR(E89/E86,0)</f>
        <v>0</v>
      </c>
      <c r="F90" s="69">
        <f>IFERROR(E90-C90,0)</f>
        <v>-1.6157538048343778</v>
      </c>
      <c r="G90" s="15">
        <f>IFERROR(G89/G86,0)</f>
        <v>1.2719206680584552</v>
      </c>
      <c r="H90" s="69">
        <f>IFERROR(E90-G90,0)</f>
        <v>-1.2719206680584552</v>
      </c>
      <c r="I90" s="21"/>
      <c r="J90" s="22"/>
      <c r="K90" s="55">
        <f>IFERROR(K89/K86,0)</f>
        <v>0</v>
      </c>
      <c r="L90" s="69">
        <f>IFERROR(E90-K90,0)</f>
        <v>0</v>
      </c>
      <c r="M90" s="73"/>
      <c r="N90" s="74"/>
    </row>
    <row r="91" spans="1:14" s="27" customFormat="1" ht="5.0999999999999996" customHeight="1" thickBot="1" x14ac:dyDescent="0.35">
      <c r="A91" s="5"/>
      <c r="B91" s="6"/>
      <c r="C91" s="7"/>
      <c r="D91" s="13"/>
      <c r="E91" s="14"/>
      <c r="F91" s="69"/>
      <c r="G91" s="13"/>
      <c r="H91" s="69"/>
      <c r="I91" s="21"/>
      <c r="J91" s="22"/>
      <c r="K91" s="54"/>
      <c r="L91" s="69"/>
      <c r="M91" s="73"/>
      <c r="N91" s="74"/>
    </row>
    <row r="92" spans="1:14" s="27" customFormat="1" ht="15" customHeight="1" thickBot="1" x14ac:dyDescent="0.35">
      <c r="A92" s="5"/>
      <c r="B92" s="6" t="s">
        <v>13</v>
      </c>
      <c r="C92" s="15">
        <f>IFERROR(C81/C86,0)</f>
        <v>101.30189992702761</v>
      </c>
      <c r="D92" s="15">
        <f>IFERROR(D81/D86,0)</f>
        <v>0</v>
      </c>
      <c r="E92" s="15">
        <f>IFERROR(E81/E86,0)</f>
        <v>0</v>
      </c>
      <c r="F92" s="69">
        <f>IFERROR(E92-C92,0)</f>
        <v>-101.30189992702761</v>
      </c>
      <c r="G92" s="15">
        <f>IFERROR(G81/G86,0)</f>
        <v>80.35368475991649</v>
      </c>
      <c r="H92" s="69">
        <f>IFERROR(E92-G92,0)</f>
        <v>-80.35368475991649</v>
      </c>
      <c r="I92" s="21">
        <f>IFERROR(E92/C92-1,0)</f>
        <v>-1</v>
      </c>
      <c r="J92" s="22">
        <f>IFERROR(E92/G92-1,0)</f>
        <v>-1</v>
      </c>
      <c r="K92" s="55">
        <f>IFERROR(K81/K86,0)</f>
        <v>0</v>
      </c>
      <c r="L92" s="69">
        <f>IFERROR(E92-K92,0)</f>
        <v>0</v>
      </c>
      <c r="M92" s="73"/>
      <c r="N92" s="74"/>
    </row>
    <row r="93" spans="1:14" s="38" customFormat="1" ht="15" customHeight="1" thickBot="1" x14ac:dyDescent="0.35">
      <c r="A93" s="9"/>
      <c r="B93" s="10" t="s">
        <v>14</v>
      </c>
      <c r="C93" s="16">
        <f>IFERROR(C81/C85,0)</f>
        <v>36.283660045690318</v>
      </c>
      <c r="D93" s="16">
        <f>IFERROR(D81/D85,0)</f>
        <v>-2.0445071506445195E-3</v>
      </c>
      <c r="E93" s="16">
        <f>IFERROR(E81/E85,0)</f>
        <v>-2.0445071506445195E-3</v>
      </c>
      <c r="F93" s="70">
        <f t="shared" ref="F93:F94" si="34">IFERROR(E93-C93,0)</f>
        <v>-36.285704552840961</v>
      </c>
      <c r="G93" s="16">
        <f>IFERROR(G81/G85,0)</f>
        <v>4.936755595459501</v>
      </c>
      <c r="H93" s="70">
        <f t="shared" ref="H93:H94" si="35">IFERROR(E93-G93,0)</f>
        <v>-4.9388001026101458</v>
      </c>
      <c r="I93" s="20">
        <f>IFERROR(E93/C93-1,0)</f>
        <v>-1.0000563478752713</v>
      </c>
      <c r="J93" s="11">
        <f>IFERROR(E93/G93-1,0)</f>
        <v>-1.0004141398355886</v>
      </c>
      <c r="K93" s="56">
        <f>IFERROR(K81/K85,0)</f>
        <v>-2.0445071506445195E-3</v>
      </c>
      <c r="L93" s="70">
        <f>IFERROR(E93-K93,0)</f>
        <v>0</v>
      </c>
      <c r="M93" s="73"/>
      <c r="N93" s="74"/>
    </row>
    <row r="94" spans="1:14" ht="15" customHeight="1" thickBot="1" x14ac:dyDescent="0.35">
      <c r="A94" s="17"/>
      <c r="B94" s="18" t="s">
        <v>34</v>
      </c>
      <c r="C94" s="19">
        <f>IFERROR(C80/C86,0)</f>
        <v>134.10617495491763</v>
      </c>
      <c r="D94" s="19">
        <f>IFERROR(D80/D86,0)</f>
        <v>0</v>
      </c>
      <c r="E94" s="19">
        <f>IFERROR(E80/E86,0)</f>
        <v>0</v>
      </c>
      <c r="F94" s="72">
        <f t="shared" si="34"/>
        <v>-134.10617495491763</v>
      </c>
      <c r="G94" s="19">
        <f>IFERROR(G80/G86,0)</f>
        <v>125.95164405010441</v>
      </c>
      <c r="H94" s="72">
        <f t="shared" si="35"/>
        <v>-125.95164405010441</v>
      </c>
      <c r="I94" s="25">
        <f>IFERROR(E94/C94-1,0)</f>
        <v>-1</v>
      </c>
      <c r="J94" s="26">
        <f>IFERROR(E94/G94-1,0)</f>
        <v>-1</v>
      </c>
      <c r="K94" s="57">
        <f>IFERROR(K80/K86,0)</f>
        <v>0</v>
      </c>
      <c r="L94" s="72">
        <f>IFERROR(E94-K94,0)</f>
        <v>0</v>
      </c>
      <c r="M94" s="73"/>
      <c r="N94" s="74"/>
    </row>
    <row r="95" spans="1:14" s="27" customFormat="1" ht="15" customHeight="1" thickBot="1" x14ac:dyDescent="0.35">
      <c r="A95" s="1"/>
      <c r="B95" s="2" t="s">
        <v>26</v>
      </c>
      <c r="C95" s="3">
        <f>SUM(C96:C98)</f>
        <v>1615354.8127935738</v>
      </c>
      <c r="D95" s="3">
        <f>SUM(D96:D98)</f>
        <v>588053.85000000009</v>
      </c>
      <c r="E95" s="4">
        <f>SUM('H+HotelBerlinMitte:H4HotelBerlinAlexand'!E95)</f>
        <v>588053.85000000009</v>
      </c>
      <c r="F95" s="71">
        <f>IFERROR(SUM(F96:F98),0)</f>
        <v>-1027300.9627935741</v>
      </c>
      <c r="G95" s="3">
        <f>SUM(G96:G98)</f>
        <v>519562.5</v>
      </c>
      <c r="H95" s="71">
        <f>IFERROR(E95-G95,0)</f>
        <v>68491.350000000093</v>
      </c>
      <c r="I95" s="20">
        <f>IFERROR(E95/C95-1,0)</f>
        <v>-0.6359599480296052</v>
      </c>
      <c r="J95" s="11">
        <f>IFERROR(E95/G95-1,0)</f>
        <v>0.13182504511006865</v>
      </c>
      <c r="K95" s="51">
        <f>SUM('H+HotelBerlinMitte:H4HotelBerlinAlexand'!K95)</f>
        <v>588053.85</v>
      </c>
      <c r="L95" s="71">
        <f>IFERROR(SUM(L96:L98),0)</f>
        <v>8.7311491370201111E-11</v>
      </c>
      <c r="M95" s="73"/>
      <c r="N95" s="74"/>
    </row>
    <row r="96" spans="1:14" s="27" customFormat="1" ht="15" customHeight="1" thickBot="1" x14ac:dyDescent="0.35">
      <c r="A96" s="5"/>
      <c r="B96" s="6" t="s">
        <v>5</v>
      </c>
      <c r="C96" s="45">
        <f>SUM('H+HotelBerlinMitte:H4HotelBerlinAlexand'!C96)</f>
        <v>1158960.258930167</v>
      </c>
      <c r="D96" s="45">
        <f>SUM('H+HotelBerlinMitte:H4HotelBerlinAlexand'!D96)</f>
        <v>400325.22000000003</v>
      </c>
      <c r="E96" s="45">
        <f>SUM('H+HotelBerlinMitte:H4HotelBerlinAlexand'!E96)</f>
        <v>400325.22000000003</v>
      </c>
      <c r="F96" s="67">
        <f>IFERROR(E96-C96,0)</f>
        <v>-758635.03893016698</v>
      </c>
      <c r="G96" s="45">
        <f>SUM('H+HotelBerlinMitte:H4HotelBerlinAlexand'!G96)</f>
        <v>359635.11</v>
      </c>
      <c r="H96" s="67">
        <f t="shared" ref="H96:H98" si="36">IFERROR(E96-G96,0)</f>
        <v>40690.110000000044</v>
      </c>
      <c r="I96" s="21">
        <f t="shared" ref="I96:I98" si="37">IFERROR(E96/C96-1,0)</f>
        <v>-0.65458244412147559</v>
      </c>
      <c r="J96" s="22">
        <f t="shared" ref="J96:J98" si="38">IFERROR(E96/G96-1,0)</f>
        <v>0.11314276295214909</v>
      </c>
      <c r="K96" s="52">
        <f>SUM('H+HotelBerlinMitte:H4HotelBerlinAlexand'!K96)</f>
        <v>400325.22</v>
      </c>
      <c r="L96" s="67">
        <f>IFERROR(E96-K96,0)</f>
        <v>5.8207660913467407E-11</v>
      </c>
      <c r="M96" s="73"/>
      <c r="N96" s="74"/>
    </row>
    <row r="97" spans="1:14" s="27" customFormat="1" ht="15" customHeight="1" thickBot="1" x14ac:dyDescent="0.35">
      <c r="A97" s="5"/>
      <c r="B97" s="6" t="s">
        <v>6</v>
      </c>
      <c r="C97" s="45">
        <f>SUM('H+HotelBerlinMitte:H4HotelBerlinAlexand'!C97)</f>
        <v>288246.55743405089</v>
      </c>
      <c r="D97" s="45">
        <f>SUM('H+HotelBerlinMitte:H4HotelBerlinAlexand'!D97)</f>
        <v>92177.39</v>
      </c>
      <c r="E97" s="45">
        <f>SUM('H+HotelBerlinMitte:H4HotelBerlinAlexand'!E97)</f>
        <v>92177.39</v>
      </c>
      <c r="F97" s="67">
        <f t="shared" ref="F97:F98" si="39">IFERROR(E97-C97,0)</f>
        <v>-196069.16743405088</v>
      </c>
      <c r="G97" s="45">
        <f>SUM('H+HotelBerlinMitte:H4HotelBerlinAlexand'!G97)</f>
        <v>60131.69</v>
      </c>
      <c r="H97" s="67">
        <f t="shared" si="36"/>
        <v>32045.699999999997</v>
      </c>
      <c r="I97" s="21">
        <f t="shared" si="37"/>
        <v>-0.6802133880780532</v>
      </c>
      <c r="J97" s="22">
        <f t="shared" si="38"/>
        <v>0.53292531774842833</v>
      </c>
      <c r="K97" s="52">
        <f>SUM('H+HotelBerlinMitte:H4HotelBerlinAlexand'!K97)</f>
        <v>92177.39</v>
      </c>
      <c r="L97" s="67">
        <f>IFERROR(E97-K97,0)</f>
        <v>0</v>
      </c>
      <c r="M97" s="73"/>
      <c r="N97" s="74"/>
    </row>
    <row r="98" spans="1:14" s="27" customFormat="1" ht="15" customHeight="1" thickBot="1" x14ac:dyDescent="0.35">
      <c r="A98" s="5"/>
      <c r="B98" s="6" t="s">
        <v>7</v>
      </c>
      <c r="C98" s="45">
        <f>SUM('H+HotelBerlinMitte:H4HotelBerlinAlexand'!C98)</f>
        <v>168147.99642935616</v>
      </c>
      <c r="D98" s="45">
        <f>SUM('H+HotelBerlinMitte:H4HotelBerlinAlexand'!D98)</f>
        <v>95551.24000000002</v>
      </c>
      <c r="E98" s="45">
        <f>SUM('H+HotelBerlinMitte:H4HotelBerlinAlexand'!E98)</f>
        <v>95551.24000000002</v>
      </c>
      <c r="F98" s="67">
        <f t="shared" si="39"/>
        <v>-72596.756429356145</v>
      </c>
      <c r="G98" s="45">
        <f>SUM('H+HotelBerlinMitte:H4HotelBerlinAlexand'!G98)</f>
        <v>99795.7</v>
      </c>
      <c r="H98" s="67">
        <f t="shared" si="36"/>
        <v>-4244.4599999999773</v>
      </c>
      <c r="I98" s="21">
        <f t="shared" si="37"/>
        <v>-0.43174321413848149</v>
      </c>
      <c r="J98" s="22">
        <f t="shared" si="38"/>
        <v>-4.2531491837824453E-2</v>
      </c>
      <c r="K98" s="52">
        <f>SUM('H+HotelBerlinMitte:H4HotelBerlinAlexand'!K98)</f>
        <v>95551.239999999991</v>
      </c>
      <c r="L98" s="67">
        <f>IFERROR(E98-K98,0)</f>
        <v>2.9103830456733704E-11</v>
      </c>
      <c r="M98" s="73"/>
      <c r="N98" s="74"/>
    </row>
    <row r="99" spans="1:14" s="27" customFormat="1" ht="5.0999999999999996" customHeight="1" thickBot="1" x14ac:dyDescent="0.35">
      <c r="A99" s="5"/>
      <c r="B99" s="6"/>
      <c r="C99" s="7"/>
      <c r="D99" s="7"/>
      <c r="E99" s="8"/>
      <c r="F99" s="67"/>
      <c r="G99" s="7"/>
      <c r="H99" s="67"/>
      <c r="I99" s="21"/>
      <c r="J99" s="21"/>
      <c r="K99" s="53"/>
      <c r="L99" s="67"/>
      <c r="M99" s="73"/>
      <c r="N99" s="74"/>
    </row>
    <row r="100" spans="1:14" s="27" customFormat="1" ht="15" customHeight="1" thickBot="1" x14ac:dyDescent="0.35">
      <c r="A100" s="5"/>
      <c r="B100" s="6" t="s">
        <v>8</v>
      </c>
      <c r="C100" s="45">
        <f>SUM('H+HotelBerlinMitte:H4HotelBerlinAlexand'!C100)</f>
        <v>30180</v>
      </c>
      <c r="D100" s="45">
        <f>SUM('H+HotelBerlinMitte:H4HotelBerlinAlexand'!D100)</f>
        <v>30180</v>
      </c>
      <c r="E100" s="46">
        <f>SUM('H+HotelBerlinMitte:H4HotelBerlinAlexand'!E100)</f>
        <v>30180</v>
      </c>
      <c r="F100" s="67">
        <f>IFERROR(E100-C100,0)</f>
        <v>0</v>
      </c>
      <c r="G100" s="45">
        <f>SUM('H+HotelBerlinMitte:H4HotelBerlinAlexand'!G100)</f>
        <v>30180</v>
      </c>
      <c r="H100" s="67">
        <f>IFERROR(E100-G100,0)</f>
        <v>0</v>
      </c>
      <c r="I100" s="23"/>
      <c r="J100" s="24"/>
      <c r="K100" s="52">
        <f>SUM('H+HotelBerlinMitte:H4HotelBerlinAlexand'!K100)</f>
        <v>30180</v>
      </c>
      <c r="L100" s="67">
        <f>IFERROR(E100-K100,0)</f>
        <v>0</v>
      </c>
      <c r="M100" s="73"/>
      <c r="N100" s="74"/>
    </row>
    <row r="101" spans="1:14" s="27" customFormat="1" ht="15" customHeight="1" thickBot="1" x14ac:dyDescent="0.35">
      <c r="A101" s="5"/>
      <c r="B101" s="6" t="s">
        <v>9</v>
      </c>
      <c r="C101" s="45">
        <f>SUM('H+HotelBerlinMitte:H4HotelBerlinAlexand'!C101)</f>
        <v>11062</v>
      </c>
      <c r="D101" s="45">
        <f>SUM('H+HotelBerlinMitte:H4HotelBerlinAlexand'!D101)</f>
        <v>6061</v>
      </c>
      <c r="E101" s="46">
        <f>SUM('H+HotelBerlinMitte:H4HotelBerlinAlexand'!E101)</f>
        <v>6061</v>
      </c>
      <c r="F101" s="67">
        <f>IFERROR(E101-C101,0)</f>
        <v>-5001</v>
      </c>
      <c r="G101" s="45">
        <f>SUM('H+HotelBerlinMitte:H4HotelBerlinAlexand'!G101)</f>
        <v>4438</v>
      </c>
      <c r="H101" s="67">
        <f>IFERROR(E101-G101,0)</f>
        <v>1623</v>
      </c>
      <c r="I101" s="23"/>
      <c r="J101" s="24"/>
      <c r="K101" s="52">
        <f>SUM('H+HotelBerlinMitte:H4HotelBerlinAlexand'!K101)</f>
        <v>6061</v>
      </c>
      <c r="L101" s="67">
        <f>IFERROR(E101-K101,0)</f>
        <v>0</v>
      </c>
      <c r="M101" s="73"/>
      <c r="N101" s="74"/>
    </row>
    <row r="102" spans="1:14" s="38" customFormat="1" ht="15" customHeight="1" thickBot="1" x14ac:dyDescent="0.35">
      <c r="A102" s="9"/>
      <c r="B102" s="10" t="s">
        <v>10</v>
      </c>
      <c r="C102" s="11">
        <f>IFERROR(C101/C100,0)</f>
        <v>0.36653412856196155</v>
      </c>
      <c r="D102" s="11">
        <f>IFERROR(D101/D100,0)</f>
        <v>0.20082836315440689</v>
      </c>
      <c r="E102" s="11">
        <f>IFERROR(E101/E100,0)</f>
        <v>0.20082836315440689</v>
      </c>
      <c r="F102" s="68">
        <f>IFERROR(E102-C102,0)</f>
        <v>-0.16570576540755466</v>
      </c>
      <c r="G102" s="11">
        <f>IFERROR(G101/G100,0)</f>
        <v>0.14705102717031146</v>
      </c>
      <c r="H102" s="68">
        <f>IFERROR(E102-G102,0)</f>
        <v>5.3777335984095426E-2</v>
      </c>
      <c r="I102" s="20">
        <f>IFERROR(E102/C102-1,0)</f>
        <v>-0.45208822997649611</v>
      </c>
      <c r="J102" s="11">
        <f>IFERROR(E102/G102-1,0)</f>
        <v>0.36570527264533581</v>
      </c>
      <c r="K102" s="12">
        <f>IFERROR(K101/K100,0)</f>
        <v>0.20082836315440689</v>
      </c>
      <c r="L102" s="68">
        <f>IFERROR(E102-K102,0)</f>
        <v>0</v>
      </c>
      <c r="M102" s="73"/>
      <c r="N102" s="74"/>
    </row>
    <row r="103" spans="1:14" s="27" customFormat="1" ht="5.0999999999999996" customHeight="1" thickBot="1" x14ac:dyDescent="0.35">
      <c r="A103" s="5"/>
      <c r="B103" s="6"/>
      <c r="C103" s="7"/>
      <c r="D103" s="13"/>
      <c r="E103" s="14"/>
      <c r="F103" s="67"/>
      <c r="G103" s="13"/>
      <c r="H103" s="67"/>
      <c r="I103" s="21"/>
      <c r="J103" s="22"/>
      <c r="K103" s="54"/>
      <c r="L103" s="67"/>
      <c r="M103" s="73"/>
      <c r="N103" s="74"/>
    </row>
    <row r="104" spans="1:14" s="27" customFormat="1" ht="15" customHeight="1" thickBot="1" x14ac:dyDescent="0.35">
      <c r="A104" s="5"/>
      <c r="B104" s="6" t="s">
        <v>11</v>
      </c>
      <c r="C104" s="45">
        <f>SUM('H+HotelBerlinMitte:H4HotelBerlinAlexand'!C104)</f>
        <v>17277.620000000003</v>
      </c>
      <c r="D104" s="45">
        <f>SUM('H+HotelBerlinMitte:H4HotelBerlinAlexand'!D104)</f>
        <v>9965</v>
      </c>
      <c r="E104" s="46">
        <f>SUM('H+HotelBerlinMitte:H4HotelBerlinAlexand'!E104)</f>
        <v>9965</v>
      </c>
      <c r="F104" s="67">
        <f>IFERROR(E104-C104,0)</f>
        <v>-7312.6200000000026</v>
      </c>
      <c r="G104" s="45">
        <f>SUM('H+HotelBerlinMitte:H4HotelBerlinAlexand'!G104)</f>
        <v>6737</v>
      </c>
      <c r="H104" s="67">
        <f>IFERROR(E104-G104,0)</f>
        <v>3228</v>
      </c>
      <c r="I104" s="21"/>
      <c r="J104" s="22"/>
      <c r="K104" s="52">
        <f>SUM('H+HotelBerlinMitte:H4HotelBerlinAlexand'!K104)</f>
        <v>9965</v>
      </c>
      <c r="L104" s="67">
        <f>IFERROR(E104-K104,0)</f>
        <v>0</v>
      </c>
      <c r="M104" s="73"/>
      <c r="N104" s="74"/>
    </row>
    <row r="105" spans="1:14" s="27" customFormat="1" ht="15" customHeight="1" thickBot="1" x14ac:dyDescent="0.35">
      <c r="A105" s="5"/>
      <c r="B105" s="6" t="s">
        <v>12</v>
      </c>
      <c r="C105" s="15">
        <f>IFERROR(C104/C101,0)</f>
        <v>1.5618893509311158</v>
      </c>
      <c r="D105" s="15">
        <f>IFERROR(D104/D101,0)</f>
        <v>1.6441181323213991</v>
      </c>
      <c r="E105" s="15">
        <f>IFERROR(E104/E101,0)</f>
        <v>1.6441181323213991</v>
      </c>
      <c r="F105" s="69">
        <f>IFERROR(E105-C105,0)</f>
        <v>8.2228781390283334E-2</v>
      </c>
      <c r="G105" s="15">
        <f>IFERROR(G104/G101,0)</f>
        <v>1.5180261378999549</v>
      </c>
      <c r="H105" s="69">
        <f>IFERROR(E105-G105,0)</f>
        <v>0.12609199442144425</v>
      </c>
      <c r="I105" s="21"/>
      <c r="J105" s="22"/>
      <c r="K105" s="55">
        <f>IFERROR(K104/K101,0)</f>
        <v>1.6441181323213991</v>
      </c>
      <c r="L105" s="69">
        <f>IFERROR(E105-K105,0)</f>
        <v>0</v>
      </c>
      <c r="M105" s="73"/>
      <c r="N105" s="74"/>
    </row>
    <row r="106" spans="1:14" s="27" customFormat="1" ht="5.0999999999999996" customHeight="1" thickBot="1" x14ac:dyDescent="0.35">
      <c r="A106" s="5"/>
      <c r="B106" s="6"/>
      <c r="C106" s="7"/>
      <c r="D106" s="13"/>
      <c r="E106" s="14"/>
      <c r="F106" s="69"/>
      <c r="G106" s="13"/>
      <c r="H106" s="69"/>
      <c r="I106" s="21"/>
      <c r="J106" s="22"/>
      <c r="K106" s="54"/>
      <c r="L106" s="69"/>
      <c r="M106" s="73"/>
      <c r="N106" s="74"/>
    </row>
    <row r="107" spans="1:14" s="27" customFormat="1" ht="15" customHeight="1" thickBot="1" x14ac:dyDescent="0.35">
      <c r="A107" s="5"/>
      <c r="B107" s="6" t="s">
        <v>13</v>
      </c>
      <c r="C107" s="15">
        <f>IFERROR(C96/C101,0)</f>
        <v>104.76950451366542</v>
      </c>
      <c r="D107" s="15">
        <f>IFERROR(D96/D101,0)</f>
        <v>66.049368091074086</v>
      </c>
      <c r="E107" s="15">
        <f>IFERROR(E96/E101,0)</f>
        <v>66.049368091074086</v>
      </c>
      <c r="F107" s="69">
        <f>IFERROR(E107-C107,0)</f>
        <v>-38.720136422591338</v>
      </c>
      <c r="G107" s="15">
        <f>IFERROR(G96/G101,0)</f>
        <v>81.035401081568267</v>
      </c>
      <c r="H107" s="69">
        <f>IFERROR(E107-G107,0)</f>
        <v>-14.986032990494181</v>
      </c>
      <c r="I107" s="21">
        <f>IFERROR(E107/C107-1,0)</f>
        <v>-0.36957449214185167</v>
      </c>
      <c r="J107" s="22">
        <f>IFERROR(E107/G107-1,0)</f>
        <v>-0.18493192839768391</v>
      </c>
      <c r="K107" s="55">
        <f>IFERROR(K96/K101,0)</f>
        <v>66.049368091074072</v>
      </c>
      <c r="L107" s="69">
        <f>IFERROR(E107-K107,0)</f>
        <v>1.4210854715202004E-14</v>
      </c>
      <c r="M107" s="73"/>
      <c r="N107" s="74"/>
    </row>
    <row r="108" spans="1:14" s="38" customFormat="1" ht="15" customHeight="1" thickBot="1" x14ac:dyDescent="0.35">
      <c r="A108" s="9"/>
      <c r="B108" s="10" t="s">
        <v>14</v>
      </c>
      <c r="C108" s="16">
        <f>IFERROR(C96/C100,0)</f>
        <v>38.401599036784859</v>
      </c>
      <c r="D108" s="16">
        <f>IFERROR(D96/D100,0)</f>
        <v>13.264586481113321</v>
      </c>
      <c r="E108" s="16">
        <f>IFERROR(E96/E100,0)</f>
        <v>13.264586481113321</v>
      </c>
      <c r="F108" s="70">
        <f t="shared" ref="F108:F109" si="40">IFERROR(E108-C108,0)</f>
        <v>-25.137012555671539</v>
      </c>
      <c r="G108" s="16">
        <f>IFERROR(G96/G100,0)</f>
        <v>11.916338966202783</v>
      </c>
      <c r="H108" s="70">
        <f t="shared" ref="H108:H109" si="41">IFERROR(E108-G108,0)</f>
        <v>1.348247514910538</v>
      </c>
      <c r="I108" s="20">
        <f>IFERROR(E108/C108-1,0)</f>
        <v>-0.65458244412147559</v>
      </c>
      <c r="J108" s="11">
        <f>IFERROR(E108/G108-1,0)</f>
        <v>0.11314276295214909</v>
      </c>
      <c r="K108" s="56">
        <f>IFERROR(K96/K100,0)</f>
        <v>13.264586481113319</v>
      </c>
      <c r="L108" s="70">
        <f>IFERROR(E108-K108,0)</f>
        <v>1.7763568394002505E-15</v>
      </c>
      <c r="M108" s="73"/>
      <c r="N108" s="74"/>
    </row>
    <row r="109" spans="1:14" ht="15" customHeight="1" thickBot="1" x14ac:dyDescent="0.35">
      <c r="A109" s="17"/>
      <c r="B109" s="18" t="s">
        <v>34</v>
      </c>
      <c r="C109" s="19">
        <f>IFERROR(C95/C101,0)</f>
        <v>146.02737414514317</v>
      </c>
      <c r="D109" s="19">
        <f>IFERROR(D95/D101,0)</f>
        <v>97.022578782379156</v>
      </c>
      <c r="E109" s="19">
        <f>IFERROR(E95/E101,0)</f>
        <v>97.022578782379156</v>
      </c>
      <c r="F109" s="72">
        <f t="shared" si="40"/>
        <v>-49.004795362764014</v>
      </c>
      <c r="G109" s="19">
        <f>IFERROR(G95/G101,0)</f>
        <v>117.07131590806669</v>
      </c>
      <c r="H109" s="72">
        <f t="shared" si="41"/>
        <v>-20.048737125687538</v>
      </c>
      <c r="I109" s="25">
        <f>IFERROR(E109/C109-1,0)</f>
        <v>-0.3355863628284923</v>
      </c>
      <c r="J109" s="26">
        <f>IFERROR(E109/G109-1,0)</f>
        <v>-0.17125234281496704</v>
      </c>
      <c r="K109" s="57">
        <f>IFERROR(K95/K101,0)</f>
        <v>97.022578782379142</v>
      </c>
      <c r="L109" s="72">
        <f>IFERROR(E109-K109,0)</f>
        <v>1.4210854715202004E-14</v>
      </c>
      <c r="M109" s="73"/>
      <c r="N109" s="74"/>
    </row>
    <row r="110" spans="1:14" s="27" customFormat="1" ht="15" customHeight="1" thickBot="1" x14ac:dyDescent="0.35">
      <c r="A110" s="36"/>
      <c r="B110" s="59" t="s">
        <v>15</v>
      </c>
      <c r="C110" s="60">
        <f>SUM(C111:C113)</f>
        <v>2488250.1353775728</v>
      </c>
      <c r="D110" s="61">
        <f>SUM(D111:D113)</f>
        <v>1821853.2600000002</v>
      </c>
      <c r="E110" s="61">
        <f>SUM('H+HotelBerlinMitte:H4HotelBerlinAlexand'!E110)</f>
        <v>1821853.2600000002</v>
      </c>
      <c r="F110" s="71">
        <f>IFERROR(SUM(F111:F113),0)</f>
        <v>-666396.87537757261</v>
      </c>
      <c r="G110" s="61">
        <f>SUM(G111:G113)</f>
        <v>972614.05000000016</v>
      </c>
      <c r="H110" s="71">
        <f>IFERROR(E110-G110,0)</f>
        <v>849239.21000000008</v>
      </c>
      <c r="I110" s="62">
        <f>IFERROR(E110/C110-1,0)</f>
        <v>-0.26781747779406917</v>
      </c>
      <c r="J110" s="63">
        <f>IFERROR(E110/G110-1,0)</f>
        <v>0.87315128750196447</v>
      </c>
      <c r="K110" s="64">
        <f>SUM('H+HotelBerlinMitte:H4HotelBerlinAlexand'!K110)</f>
        <v>1821853.2600000002</v>
      </c>
      <c r="L110" s="71">
        <f>IFERROR(SUM(L111:L113),0)</f>
        <v>0</v>
      </c>
      <c r="M110" s="73"/>
      <c r="N110" s="74"/>
    </row>
    <row r="111" spans="1:14" s="27" customFormat="1" ht="15" customHeight="1" thickBot="1" x14ac:dyDescent="0.35">
      <c r="A111" s="5"/>
      <c r="B111" s="6" t="s">
        <v>5</v>
      </c>
      <c r="C111" s="45">
        <f>SUM('H+HotelBerlinMitte:H4HotelBerlinAlexand'!C111)</f>
        <v>2022830</v>
      </c>
      <c r="D111" s="45">
        <f>SUM('H+HotelBerlinMitte:H4HotelBerlinAlexand'!D111)</f>
        <v>1370016.31</v>
      </c>
      <c r="E111" s="45">
        <f>SUM('H+HotelBerlinMitte:H4HotelBerlinAlexand'!E111)</f>
        <v>1370016.31</v>
      </c>
      <c r="F111" s="67">
        <f>IFERROR(E111-C111,0)</f>
        <v>-652813.68999999994</v>
      </c>
      <c r="G111" s="45">
        <f>SUM('H+HotelBerlinMitte:H4HotelBerlinAlexand'!G111)</f>
        <v>734494.94000000018</v>
      </c>
      <c r="H111" s="67">
        <f t="shared" ref="H111:H113" si="42">IFERROR(E111-G111,0)</f>
        <v>635521.36999999988</v>
      </c>
      <c r="I111" s="21">
        <f t="shared" ref="I111:I113" si="43">IFERROR(E111/C111-1,0)</f>
        <v>-0.32272296238438225</v>
      </c>
      <c r="J111" s="22">
        <f t="shared" ref="J111:J113" si="44">IFERROR(E111/G111-1,0)</f>
        <v>0.86524948694677151</v>
      </c>
      <c r="K111" s="52">
        <f>SUM('H+HotelBerlinMitte:H4HotelBerlinAlexand'!K111)</f>
        <v>1370016.31</v>
      </c>
      <c r="L111" s="67">
        <f>IFERROR(E111-K111,0)</f>
        <v>0</v>
      </c>
      <c r="M111" s="73"/>
      <c r="N111" s="74"/>
    </row>
    <row r="112" spans="1:14" s="27" customFormat="1" ht="15" customHeight="1" thickBot="1" x14ac:dyDescent="0.35">
      <c r="A112" s="5"/>
      <c r="B112" s="6" t="s">
        <v>6</v>
      </c>
      <c r="C112" s="45">
        <f>SUM('H+HotelBerlinMitte:H4HotelBerlinAlexand'!C112)</f>
        <v>345169.93924311898</v>
      </c>
      <c r="D112" s="45">
        <f>SUM('H+HotelBerlinMitte:H4HotelBerlinAlexand'!D112)</f>
        <v>324355.56000000006</v>
      </c>
      <c r="E112" s="45">
        <f>SUM('H+HotelBerlinMitte:H4HotelBerlinAlexand'!E112)</f>
        <v>324355.56000000006</v>
      </c>
      <c r="F112" s="67">
        <f t="shared" ref="F112:F113" si="45">IFERROR(E112-C112,0)</f>
        <v>-20814.379243118921</v>
      </c>
      <c r="G112" s="45">
        <f>SUM('H+HotelBerlinMitte:H4HotelBerlinAlexand'!G112)</f>
        <v>156442.70000000001</v>
      </c>
      <c r="H112" s="67">
        <f t="shared" si="42"/>
        <v>167912.86000000004</v>
      </c>
      <c r="I112" s="21">
        <f t="shared" si="43"/>
        <v>-6.0301830712026216E-2</v>
      </c>
      <c r="J112" s="22">
        <f t="shared" si="44"/>
        <v>1.0733186016349756</v>
      </c>
      <c r="K112" s="52">
        <f>SUM('H+HotelBerlinMitte:H4HotelBerlinAlexand'!K112)</f>
        <v>324355.56000000006</v>
      </c>
      <c r="L112" s="67">
        <f>IFERROR(E112-K112,0)</f>
        <v>0</v>
      </c>
      <c r="M112" s="73"/>
      <c r="N112" s="74"/>
    </row>
    <row r="113" spans="1:14" s="27" customFormat="1" ht="15" customHeight="1" thickBot="1" x14ac:dyDescent="0.35">
      <c r="A113" s="5"/>
      <c r="B113" s="6" t="s">
        <v>7</v>
      </c>
      <c r="C113" s="45">
        <f>SUM('H+HotelBerlinMitte:H4HotelBerlinAlexand'!C113)</f>
        <v>120250.19613445383</v>
      </c>
      <c r="D113" s="45">
        <f>SUM('H+HotelBerlinMitte:H4HotelBerlinAlexand'!D113)</f>
        <v>127481.39000000004</v>
      </c>
      <c r="E113" s="45">
        <f>SUM('H+HotelBerlinMitte:H4HotelBerlinAlexand'!E113)</f>
        <v>127481.39000000004</v>
      </c>
      <c r="F113" s="67">
        <f t="shared" si="45"/>
        <v>7231.1938655462145</v>
      </c>
      <c r="G113" s="45">
        <f>SUM('H+HotelBerlinMitte:H4HotelBerlinAlexand'!G113)</f>
        <v>81676.41</v>
      </c>
      <c r="H113" s="67">
        <f t="shared" si="42"/>
        <v>45804.98000000004</v>
      </c>
      <c r="I113" s="21">
        <f t="shared" si="43"/>
        <v>6.0134570237714069E-2</v>
      </c>
      <c r="J113" s="22">
        <f t="shared" si="44"/>
        <v>0.56081039800843402</v>
      </c>
      <c r="K113" s="52">
        <f>SUM('H+HotelBerlinMitte:H4HotelBerlinAlexand'!K113)</f>
        <v>127481.39000000004</v>
      </c>
      <c r="L113" s="67">
        <f>IFERROR(E113-K113,0)</f>
        <v>0</v>
      </c>
      <c r="M113" s="73"/>
      <c r="N113" s="74"/>
    </row>
    <row r="114" spans="1:14" s="27" customFormat="1" ht="5.0999999999999996" customHeight="1" thickBot="1" x14ac:dyDescent="0.35">
      <c r="A114" s="5"/>
      <c r="B114" s="6"/>
      <c r="C114" s="7"/>
      <c r="D114" s="7"/>
      <c r="E114" s="8"/>
      <c r="F114" s="67"/>
      <c r="G114" s="7"/>
      <c r="H114" s="67"/>
      <c r="I114" s="21"/>
      <c r="J114" s="21"/>
      <c r="K114" s="53"/>
      <c r="L114" s="67"/>
      <c r="M114" s="73"/>
      <c r="N114" s="74"/>
    </row>
    <row r="115" spans="1:14" s="27" customFormat="1" ht="15" customHeight="1" thickBot="1" x14ac:dyDescent="0.35">
      <c r="A115" s="5"/>
      <c r="B115" s="6" t="s">
        <v>8</v>
      </c>
      <c r="C115" s="45">
        <f>SUM('H+HotelBerlinMitte:H4HotelBerlinAlexand'!C115)</f>
        <v>31186</v>
      </c>
      <c r="D115" s="45">
        <f>SUM('H+HotelBerlinMitte:H4HotelBerlinAlexand'!D115)</f>
        <v>31186</v>
      </c>
      <c r="E115" s="46">
        <f>SUM('H+HotelBerlinMitte:H4HotelBerlinAlexand'!E115)</f>
        <v>31186</v>
      </c>
      <c r="F115" s="67">
        <f>IFERROR(E115-C115,0)</f>
        <v>0</v>
      </c>
      <c r="G115" s="45">
        <f>SUM('H+HotelBerlinMitte:H4HotelBerlinAlexand'!G115)</f>
        <v>31186</v>
      </c>
      <c r="H115" s="67">
        <f>IFERROR(E115-G115,0)</f>
        <v>0</v>
      </c>
      <c r="I115" s="23"/>
      <c r="J115" s="24"/>
      <c r="K115" s="52">
        <f>SUM('H+HotelBerlinMitte:H4HotelBerlinAlexand'!K115)</f>
        <v>31186</v>
      </c>
      <c r="L115" s="67">
        <f>IFERROR(E115-K115,0)</f>
        <v>0</v>
      </c>
      <c r="M115" s="73"/>
      <c r="N115" s="74"/>
    </row>
    <row r="116" spans="1:14" s="27" customFormat="1" ht="15" customHeight="1" thickBot="1" x14ac:dyDescent="0.35">
      <c r="A116" s="5"/>
      <c r="B116" s="6" t="s">
        <v>9</v>
      </c>
      <c r="C116" s="45">
        <f>SUM('H+HotelBerlinMitte:H4HotelBerlinAlexand'!C116)</f>
        <v>24100</v>
      </c>
      <c r="D116" s="45">
        <f>SUM('H+HotelBerlinMitte:H4HotelBerlinAlexand'!D116)</f>
        <v>21348</v>
      </c>
      <c r="E116" s="46">
        <f>SUM('H+HotelBerlinMitte:H4HotelBerlinAlexand'!E116)</f>
        <v>21348</v>
      </c>
      <c r="F116" s="67">
        <f>IFERROR(E116-C116,0)</f>
        <v>-2752</v>
      </c>
      <c r="G116" s="45">
        <f>SUM('H+HotelBerlinMitte:H4HotelBerlinAlexand'!G116)</f>
        <v>11150</v>
      </c>
      <c r="H116" s="67">
        <f>IFERROR(E116-G116,0)</f>
        <v>10198</v>
      </c>
      <c r="I116" s="23"/>
      <c r="J116" s="24"/>
      <c r="K116" s="52">
        <f>SUM('H+HotelBerlinMitte:H4HotelBerlinAlexand'!K116)</f>
        <v>21348</v>
      </c>
      <c r="L116" s="67">
        <f>IFERROR(E116-K116,0)</f>
        <v>0</v>
      </c>
      <c r="M116" s="73"/>
      <c r="N116" s="74"/>
    </row>
    <row r="117" spans="1:14" s="38" customFormat="1" ht="15" customHeight="1" thickBot="1" x14ac:dyDescent="0.35">
      <c r="A117" s="9"/>
      <c r="B117" s="10" t="s">
        <v>10</v>
      </c>
      <c r="C117" s="11">
        <f>IFERROR(C116/C115,0)</f>
        <v>0.77278265888539732</v>
      </c>
      <c r="D117" s="11">
        <f>IFERROR(D116/D115,0)</f>
        <v>0.68453793368819338</v>
      </c>
      <c r="E117" s="11">
        <f>IFERROR(E116/E115,0)</f>
        <v>0.68453793368819338</v>
      </c>
      <c r="F117" s="68">
        <f>IFERROR(E117-C117,0)</f>
        <v>-8.8244725197203944E-2</v>
      </c>
      <c r="G117" s="11">
        <f>IFERROR(G116/G115,0)</f>
        <v>0.35753222599884565</v>
      </c>
      <c r="H117" s="68">
        <f>IFERROR(E117-G117,0)</f>
        <v>0.32700570768934772</v>
      </c>
      <c r="I117" s="20">
        <f>IFERROR(E117/C117-1,0)</f>
        <v>-0.11419087136929473</v>
      </c>
      <c r="J117" s="11">
        <f>IFERROR(E117/G117-1,0)</f>
        <v>0.91461883408071731</v>
      </c>
      <c r="K117" s="12">
        <f>IFERROR(K116/K115,0)</f>
        <v>0.68453793368819338</v>
      </c>
      <c r="L117" s="68">
        <f>IFERROR(E117-K117,0)</f>
        <v>0</v>
      </c>
      <c r="M117" s="73"/>
      <c r="N117" s="74"/>
    </row>
    <row r="118" spans="1:14" s="27" customFormat="1" ht="5.0999999999999996" customHeight="1" thickBot="1" x14ac:dyDescent="0.35">
      <c r="A118" s="5"/>
      <c r="B118" s="6"/>
      <c r="C118" s="7"/>
      <c r="D118" s="13"/>
      <c r="E118" s="14"/>
      <c r="F118" s="67"/>
      <c r="G118" s="13"/>
      <c r="H118" s="67"/>
      <c r="I118" s="21"/>
      <c r="J118" s="22"/>
      <c r="K118" s="54"/>
      <c r="L118" s="67"/>
      <c r="M118" s="73"/>
      <c r="N118" s="74"/>
    </row>
    <row r="119" spans="1:14" s="27" customFormat="1" ht="15" customHeight="1" thickBot="1" x14ac:dyDescent="0.35">
      <c r="A119" s="5"/>
      <c r="B119" s="6" t="s">
        <v>11</v>
      </c>
      <c r="C119" s="45">
        <f>SUM('H+HotelBerlinMitte:H4HotelBerlinAlexand'!C119)</f>
        <v>44453.7</v>
      </c>
      <c r="D119" s="45">
        <f>SUM('H+HotelBerlinMitte:H4HotelBerlinAlexand'!D119)</f>
        <v>37105</v>
      </c>
      <c r="E119" s="46">
        <f>SUM('H+HotelBerlinMitte:H4HotelBerlinAlexand'!E119)</f>
        <v>37105</v>
      </c>
      <c r="F119" s="67">
        <f>IFERROR(E119-C119,0)</f>
        <v>-7348.6999999999971</v>
      </c>
      <c r="G119" s="45">
        <f>SUM('H+HotelBerlinMitte:H4HotelBerlinAlexand'!G119)</f>
        <v>20374</v>
      </c>
      <c r="H119" s="67">
        <f>IFERROR(E119-G119,0)</f>
        <v>16731</v>
      </c>
      <c r="I119" s="21"/>
      <c r="J119" s="22"/>
      <c r="K119" s="52">
        <f>SUM('H+HotelBerlinMitte:H4HotelBerlinAlexand'!K119)</f>
        <v>37105</v>
      </c>
      <c r="L119" s="67">
        <f>IFERROR(E119-K119,0)</f>
        <v>0</v>
      </c>
      <c r="M119" s="73"/>
      <c r="N119" s="74"/>
    </row>
    <row r="120" spans="1:14" s="27" customFormat="1" ht="15" customHeight="1" thickBot="1" x14ac:dyDescent="0.35">
      <c r="A120" s="5"/>
      <c r="B120" s="6" t="s">
        <v>12</v>
      </c>
      <c r="C120" s="15">
        <f>IFERROR(C119/C116,0)</f>
        <v>1.8445518672199168</v>
      </c>
      <c r="D120" s="15">
        <f>IFERROR(D119/D116,0)</f>
        <v>1.7381019299231779</v>
      </c>
      <c r="E120" s="15">
        <f>IFERROR(E119/E116,0)</f>
        <v>1.7381019299231779</v>
      </c>
      <c r="F120" s="69">
        <f>IFERROR(E120-C120,0)</f>
        <v>-0.10644993729673891</v>
      </c>
      <c r="G120" s="15">
        <f>IFERROR(G119/G116,0)</f>
        <v>1.8272645739910314</v>
      </c>
      <c r="H120" s="69">
        <f>IFERROR(E120-G120,0)</f>
        <v>-8.9162644067853458E-2</v>
      </c>
      <c r="I120" s="21"/>
      <c r="J120" s="22"/>
      <c r="K120" s="55">
        <f>IFERROR(K119/K116,0)</f>
        <v>1.7381019299231779</v>
      </c>
      <c r="L120" s="69">
        <f>IFERROR(E120-K120,0)</f>
        <v>0</v>
      </c>
      <c r="M120" s="73"/>
      <c r="N120" s="74"/>
    </row>
    <row r="121" spans="1:14" s="27" customFormat="1" ht="5.0999999999999996" customHeight="1" thickBot="1" x14ac:dyDescent="0.35">
      <c r="A121" s="5"/>
      <c r="B121" s="6"/>
      <c r="C121" s="7"/>
      <c r="D121" s="13"/>
      <c r="E121" s="14"/>
      <c r="F121" s="69"/>
      <c r="G121" s="13"/>
      <c r="H121" s="69"/>
      <c r="I121" s="21"/>
      <c r="J121" s="22"/>
      <c r="K121" s="54"/>
      <c r="L121" s="69"/>
      <c r="M121" s="73"/>
      <c r="N121" s="74"/>
    </row>
    <row r="122" spans="1:14" s="27" customFormat="1" ht="15" customHeight="1" thickBot="1" x14ac:dyDescent="0.35">
      <c r="A122" s="5"/>
      <c r="B122" s="6" t="s">
        <v>13</v>
      </c>
      <c r="C122" s="15">
        <f>IFERROR(C111/C116,0)</f>
        <v>83.934854771784231</v>
      </c>
      <c r="D122" s="15">
        <f>IFERROR(D111/D116,0)</f>
        <v>64.17539394791082</v>
      </c>
      <c r="E122" s="15">
        <f>IFERROR(E111/E116,0)</f>
        <v>64.17539394791082</v>
      </c>
      <c r="F122" s="69">
        <f>IFERROR(E122-C122,0)</f>
        <v>-19.759460823873411</v>
      </c>
      <c r="G122" s="15">
        <f>IFERROR(G111/G116,0)</f>
        <v>65.873985650224228</v>
      </c>
      <c r="H122" s="69">
        <f>IFERROR(E122-G122,0)</f>
        <v>-1.6985917023134078</v>
      </c>
      <c r="I122" s="21">
        <f>IFERROR(E122/C122-1,0)</f>
        <v>-0.23541424927223209</v>
      </c>
      <c r="J122" s="22">
        <f>IFERROR(E122/G122-1,0)</f>
        <v>-2.5785470327126414E-2</v>
      </c>
      <c r="K122" s="55">
        <f>IFERROR(K111/K116,0)</f>
        <v>64.17539394791082</v>
      </c>
      <c r="L122" s="69">
        <f>IFERROR(E122-K122,0)</f>
        <v>0</v>
      </c>
      <c r="M122" s="73"/>
      <c r="N122" s="74"/>
    </row>
    <row r="123" spans="1:14" s="38" customFormat="1" ht="15" customHeight="1" thickBot="1" x14ac:dyDescent="0.35">
      <c r="A123" s="9"/>
      <c r="B123" s="10" t="s">
        <v>14</v>
      </c>
      <c r="C123" s="16">
        <f>IFERROR(C111/C115,0)</f>
        <v>64.86340024369909</v>
      </c>
      <c r="D123" s="16">
        <f>IFERROR(D111/D115,0)</f>
        <v>43.930491566728662</v>
      </c>
      <c r="E123" s="16">
        <f>IFERROR(E111/E115,0)</f>
        <v>43.930491566728662</v>
      </c>
      <c r="F123" s="70">
        <f t="shared" ref="F123:F124" si="46">IFERROR(E123-C123,0)</f>
        <v>-20.932908676970428</v>
      </c>
      <c r="G123" s="16">
        <f>IFERROR(G111/G115,0)</f>
        <v>23.552072724940682</v>
      </c>
      <c r="H123" s="70">
        <f t="shared" ref="H123:H124" si="47">IFERROR(E123-G123,0)</f>
        <v>20.37841884178798</v>
      </c>
      <c r="I123" s="20">
        <f>IFERROR(E123/C123-1,0)</f>
        <v>-0.32272296238438214</v>
      </c>
      <c r="J123" s="11">
        <f>IFERROR(E123/G123-1,0)</f>
        <v>0.86524948694677173</v>
      </c>
      <c r="K123" s="56">
        <f>IFERROR(K111/K115,0)</f>
        <v>43.930491566728662</v>
      </c>
      <c r="L123" s="70">
        <f>IFERROR(E123-K123,0)</f>
        <v>0</v>
      </c>
      <c r="M123" s="73"/>
      <c r="N123" s="74"/>
    </row>
    <row r="124" spans="1:14" ht="15" customHeight="1" thickBot="1" x14ac:dyDescent="0.35">
      <c r="A124" s="17"/>
      <c r="B124" s="18" t="s">
        <v>34</v>
      </c>
      <c r="C124" s="19">
        <f>IFERROR(C110/C116,0)</f>
        <v>103.24689358413166</v>
      </c>
      <c r="D124" s="19">
        <f>IFERROR(D110/D116,0)</f>
        <v>85.340699831365953</v>
      </c>
      <c r="E124" s="19">
        <f>IFERROR(E110/E116,0)</f>
        <v>85.340699831365953</v>
      </c>
      <c r="F124" s="72">
        <f t="shared" si="46"/>
        <v>-17.906193752765702</v>
      </c>
      <c r="G124" s="19">
        <f>IFERROR(G110/G116,0)</f>
        <v>87.229959641255618</v>
      </c>
      <c r="H124" s="72">
        <f t="shared" si="47"/>
        <v>-1.8892598098896656</v>
      </c>
      <c r="I124" s="25">
        <f>IFERROR(E124/C124-1,0)</f>
        <v>-0.17343082325449999</v>
      </c>
      <c r="J124" s="26">
        <f>IFERROR(E124/G124-1,0)</f>
        <v>-2.165838225375194E-2</v>
      </c>
      <c r="K124" s="57">
        <f>IFERROR(K110/K116,0)</f>
        <v>85.340699831365953</v>
      </c>
      <c r="L124" s="72">
        <f>IFERROR(E124-K124,0)</f>
        <v>0</v>
      </c>
      <c r="M124" s="73"/>
      <c r="N124" s="74"/>
    </row>
    <row r="125" spans="1:14" s="27" customFormat="1" ht="15" customHeight="1" thickBot="1" x14ac:dyDescent="0.35">
      <c r="A125" s="1"/>
      <c r="B125" s="2" t="s">
        <v>16</v>
      </c>
      <c r="C125" s="3">
        <f>SUM(C126:C128)</f>
        <v>2502913.9271134422</v>
      </c>
      <c r="D125" s="3">
        <f>SUM(D126:D128)</f>
        <v>2447471.2699999996</v>
      </c>
      <c r="E125" s="4">
        <f>SUM('H+HotelBerlinMitte:H4HotelBerlinAlexand'!E125)</f>
        <v>2447471.2699999996</v>
      </c>
      <c r="F125" s="71">
        <f>IFERROR(SUM(F126:F128),0)</f>
        <v>-55442.657113442518</v>
      </c>
      <c r="G125" s="3">
        <f>SUM(G126:G128)</f>
        <v>1445362.9900000002</v>
      </c>
      <c r="H125" s="71">
        <f>IFERROR(E125-G125,0)</f>
        <v>1002108.2799999993</v>
      </c>
      <c r="I125" s="20">
        <f>IFERROR(E125/C125-1,0)</f>
        <v>-2.2151244001180515E-2</v>
      </c>
      <c r="J125" s="11">
        <f>IFERROR(E125/G125-1,0)</f>
        <v>0.69332637332854308</v>
      </c>
      <c r="K125" s="51">
        <f>SUM('H+HotelBerlinMitte:H4HotelBerlinAlexand'!K125)</f>
        <v>2447471.2699999996</v>
      </c>
      <c r="L125" s="71">
        <f>IFERROR(SUM(L126:L128),0)</f>
        <v>1.1641532182693481E-10</v>
      </c>
      <c r="M125" s="73"/>
      <c r="N125" s="74"/>
    </row>
    <row r="126" spans="1:14" s="27" customFormat="1" ht="15" customHeight="1" thickBot="1" x14ac:dyDescent="0.35">
      <c r="A126" s="5"/>
      <c r="B126" s="6" t="s">
        <v>5</v>
      </c>
      <c r="C126" s="45">
        <f>SUM('H+HotelBerlinMitte:H4HotelBerlinAlexand'!C126)</f>
        <v>2027511.14</v>
      </c>
      <c r="D126" s="45">
        <f>SUM('H+HotelBerlinMitte:H4HotelBerlinAlexand'!D126)</f>
        <v>1855691.6799999997</v>
      </c>
      <c r="E126" s="45">
        <f>SUM('H+HotelBerlinMitte:H4HotelBerlinAlexand'!E126)</f>
        <v>1855691.6799999997</v>
      </c>
      <c r="F126" s="67">
        <f>IFERROR(E126-C126,0)</f>
        <v>-171819.4600000002</v>
      </c>
      <c r="G126" s="45">
        <f>SUM('H+HotelBerlinMitte:H4HotelBerlinAlexand'!G126)</f>
        <v>1053378.8900000001</v>
      </c>
      <c r="H126" s="67">
        <f t="shared" ref="H126:H128" si="48">IFERROR(E126-G126,0)</f>
        <v>802312.78999999957</v>
      </c>
      <c r="I126" s="21">
        <f t="shared" ref="I126:I128" si="49">IFERROR(E126/C126-1,0)</f>
        <v>-8.4744027596317051E-2</v>
      </c>
      <c r="J126" s="22">
        <f t="shared" ref="J126:J128" si="50">IFERROR(E126/G126-1,0)</f>
        <v>0.76165641595494615</v>
      </c>
      <c r="K126" s="52">
        <f>SUM('H+HotelBerlinMitte:H4HotelBerlinAlexand'!K126)</f>
        <v>1855691.6799999997</v>
      </c>
      <c r="L126" s="67">
        <f>IFERROR(E126-K126,0)</f>
        <v>0</v>
      </c>
      <c r="M126" s="73"/>
      <c r="N126" s="74"/>
    </row>
    <row r="127" spans="1:14" s="27" customFormat="1" ht="15" customHeight="1" thickBot="1" x14ac:dyDescent="0.35">
      <c r="A127" s="5"/>
      <c r="B127" s="6" t="s">
        <v>6</v>
      </c>
      <c r="C127" s="45">
        <f>SUM('H+HotelBerlinMitte:H4HotelBerlinAlexand'!C127)</f>
        <v>344812.34244957677</v>
      </c>
      <c r="D127" s="45">
        <f>SUM('H+HotelBerlinMitte:H4HotelBerlinAlexand'!D127)</f>
        <v>441254.97</v>
      </c>
      <c r="E127" s="45">
        <f>SUM('H+HotelBerlinMitte:H4HotelBerlinAlexand'!E127)</f>
        <v>441254.97</v>
      </c>
      <c r="F127" s="67">
        <f t="shared" ref="F127:F128" si="51">IFERROR(E127-C127,0)</f>
        <v>96442.627550423204</v>
      </c>
      <c r="G127" s="45">
        <f>SUM('H+HotelBerlinMitte:H4HotelBerlinAlexand'!G127)</f>
        <v>255598.59000000003</v>
      </c>
      <c r="H127" s="67">
        <f t="shared" si="48"/>
        <v>185656.37999999995</v>
      </c>
      <c r="I127" s="21">
        <f t="shared" si="49"/>
        <v>0.27969598438758436</v>
      </c>
      <c r="J127" s="22">
        <f t="shared" si="50"/>
        <v>0.72635917123016958</v>
      </c>
      <c r="K127" s="52">
        <f>SUM('H+HotelBerlinMitte:H4HotelBerlinAlexand'!K127)</f>
        <v>441254.97</v>
      </c>
      <c r="L127" s="67">
        <f>IFERROR(E127-K127,0)</f>
        <v>0</v>
      </c>
      <c r="M127" s="73"/>
      <c r="N127" s="74"/>
    </row>
    <row r="128" spans="1:14" s="27" customFormat="1" ht="15" customHeight="1" thickBot="1" x14ac:dyDescent="0.35">
      <c r="A128" s="5"/>
      <c r="B128" s="6" t="s">
        <v>7</v>
      </c>
      <c r="C128" s="45">
        <f>SUM('H+HotelBerlinMitte:H4HotelBerlinAlexand'!C128)</f>
        <v>130590.44466386558</v>
      </c>
      <c r="D128" s="45">
        <f>SUM('H+HotelBerlinMitte:H4HotelBerlinAlexand'!D128)</f>
        <v>150524.62000000005</v>
      </c>
      <c r="E128" s="45">
        <f>SUM('H+HotelBerlinMitte:H4HotelBerlinAlexand'!E128)</f>
        <v>150524.62000000005</v>
      </c>
      <c r="F128" s="67">
        <f t="shared" si="51"/>
        <v>19934.175336134474</v>
      </c>
      <c r="G128" s="45">
        <f>SUM('H+HotelBerlinMitte:H4HotelBerlinAlexand'!G128)</f>
        <v>136385.51</v>
      </c>
      <c r="H128" s="67">
        <f t="shared" si="48"/>
        <v>14139.110000000044</v>
      </c>
      <c r="I128" s="21">
        <f t="shared" si="49"/>
        <v>0.15264650784706513</v>
      </c>
      <c r="J128" s="22">
        <f t="shared" si="50"/>
        <v>0.10367017727909689</v>
      </c>
      <c r="K128" s="52">
        <f>SUM('H+HotelBerlinMitte:H4HotelBerlinAlexand'!K128)</f>
        <v>150524.61999999994</v>
      </c>
      <c r="L128" s="67">
        <f>IFERROR(E128-K128,0)</f>
        <v>1.1641532182693481E-10</v>
      </c>
      <c r="M128" s="73"/>
      <c r="N128" s="74"/>
    </row>
    <row r="129" spans="1:14" s="27" customFormat="1" ht="5.0999999999999996" customHeight="1" thickBot="1" x14ac:dyDescent="0.35">
      <c r="A129" s="5"/>
      <c r="B129" s="6"/>
      <c r="C129" s="7"/>
      <c r="D129" s="7"/>
      <c r="E129" s="8"/>
      <c r="F129" s="67"/>
      <c r="G129" s="7"/>
      <c r="H129" s="67"/>
      <c r="I129" s="21"/>
      <c r="J129" s="21"/>
      <c r="K129" s="53"/>
      <c r="L129" s="67"/>
      <c r="M129" s="73"/>
      <c r="N129" s="74"/>
    </row>
    <row r="130" spans="1:14" s="27" customFormat="1" ht="15" customHeight="1" thickBot="1" x14ac:dyDescent="0.35">
      <c r="A130" s="5"/>
      <c r="B130" s="6" t="s">
        <v>8</v>
      </c>
      <c r="C130" s="45">
        <f>SUM('H+HotelBerlinMitte:H4HotelBerlinAlexand'!C130)</f>
        <v>31186</v>
      </c>
      <c r="D130" s="45">
        <f>SUM('H+HotelBerlinMitte:H4HotelBerlinAlexand'!D130)</f>
        <v>31186</v>
      </c>
      <c r="E130" s="46">
        <f>SUM('H+HotelBerlinMitte:H4HotelBerlinAlexand'!E130)</f>
        <v>31186</v>
      </c>
      <c r="F130" s="67">
        <f>IFERROR(E130-C130,0)</f>
        <v>0</v>
      </c>
      <c r="G130" s="45">
        <f>SUM('H+HotelBerlinMitte:H4HotelBerlinAlexand'!G130)</f>
        <v>31186</v>
      </c>
      <c r="H130" s="67">
        <f>IFERROR(E130-G130,0)</f>
        <v>0</v>
      </c>
      <c r="I130" s="23"/>
      <c r="J130" s="24"/>
      <c r="K130" s="52">
        <f>SUM('H+HotelBerlinMitte:H4HotelBerlinAlexand'!K130)</f>
        <v>31186</v>
      </c>
      <c r="L130" s="67">
        <f>IFERROR(E130-K130,0)</f>
        <v>0</v>
      </c>
      <c r="M130" s="73"/>
      <c r="N130" s="74"/>
    </row>
    <row r="131" spans="1:14" s="27" customFormat="1" ht="15" customHeight="1" thickBot="1" x14ac:dyDescent="0.35">
      <c r="A131" s="5"/>
      <c r="B131" s="6" t="s">
        <v>9</v>
      </c>
      <c r="C131" s="45">
        <f>SUM('H+HotelBerlinMitte:H4HotelBerlinAlexand'!C131)</f>
        <v>24325</v>
      </c>
      <c r="D131" s="45">
        <f>SUM('H+HotelBerlinMitte:H4HotelBerlinAlexand'!D131)</f>
        <v>26218</v>
      </c>
      <c r="E131" s="46">
        <f>SUM('H+HotelBerlinMitte:H4HotelBerlinAlexand'!E131)</f>
        <v>26218</v>
      </c>
      <c r="F131" s="67">
        <f>IFERROR(E131-C131,0)</f>
        <v>1893</v>
      </c>
      <c r="G131" s="45">
        <f>SUM('H+HotelBerlinMitte:H4HotelBerlinAlexand'!G131)</f>
        <v>15903</v>
      </c>
      <c r="H131" s="67">
        <f>IFERROR(E131-G131,0)</f>
        <v>10315</v>
      </c>
      <c r="I131" s="23"/>
      <c r="J131" s="24"/>
      <c r="K131" s="52">
        <f>SUM('H+HotelBerlinMitte:H4HotelBerlinAlexand'!K131)</f>
        <v>26218</v>
      </c>
      <c r="L131" s="67">
        <f>IFERROR(E131-K131,0)</f>
        <v>0</v>
      </c>
      <c r="M131" s="73"/>
      <c r="N131" s="74"/>
    </row>
    <row r="132" spans="1:14" s="38" customFormat="1" ht="15" customHeight="1" thickBot="1" x14ac:dyDescent="0.35">
      <c r="A132" s="9"/>
      <c r="B132" s="10" t="s">
        <v>10</v>
      </c>
      <c r="C132" s="11">
        <f>IFERROR(C131/C130,0)</f>
        <v>0.77999743474636052</v>
      </c>
      <c r="D132" s="11">
        <f>IFERROR(D131/D130,0)</f>
        <v>0.84069774898993133</v>
      </c>
      <c r="E132" s="11">
        <f>IFERROR(E131/E130,0)</f>
        <v>0.84069774898993133</v>
      </c>
      <c r="F132" s="68">
        <f>IFERROR(E132-C132,0)</f>
        <v>6.0700314243570808E-2</v>
      </c>
      <c r="G132" s="11">
        <f>IFERROR(G131/G130,0)</f>
        <v>0.50994035785288272</v>
      </c>
      <c r="H132" s="68">
        <f>IFERROR(E132-G132,0)</f>
        <v>0.33075739113704861</v>
      </c>
      <c r="I132" s="20">
        <f>IFERROR(E132/C132-1,0)</f>
        <v>7.7821171634121278E-2</v>
      </c>
      <c r="J132" s="11">
        <f>IFERROR(E132/G132-1,0)</f>
        <v>0.64861975727850085</v>
      </c>
      <c r="K132" s="12">
        <f>IFERROR(K131/K130,0)</f>
        <v>0.84069774898993133</v>
      </c>
      <c r="L132" s="68">
        <f>IFERROR(E132-K132,0)</f>
        <v>0</v>
      </c>
      <c r="M132" s="73"/>
      <c r="N132" s="74"/>
    </row>
    <row r="133" spans="1:14" s="27" customFormat="1" ht="5.0999999999999996" customHeight="1" thickBot="1" x14ac:dyDescent="0.35">
      <c r="A133" s="5"/>
      <c r="B133" s="6"/>
      <c r="C133" s="7"/>
      <c r="D133" s="13"/>
      <c r="E133" s="14"/>
      <c r="F133" s="67"/>
      <c r="G133" s="13"/>
      <c r="H133" s="67"/>
      <c r="I133" s="21"/>
      <c r="J133" s="22"/>
      <c r="K133" s="54"/>
      <c r="L133" s="67"/>
      <c r="M133" s="73"/>
      <c r="N133" s="74"/>
    </row>
    <row r="134" spans="1:14" s="27" customFormat="1" ht="15" customHeight="1" thickBot="1" x14ac:dyDescent="0.35">
      <c r="A134" s="5"/>
      <c r="B134" s="6" t="s">
        <v>11</v>
      </c>
      <c r="C134" s="45">
        <f>SUM('H+HotelBerlinMitte:H4HotelBerlinAlexand'!C134)</f>
        <v>44414.25</v>
      </c>
      <c r="D134" s="45">
        <f>SUM('H+HotelBerlinMitte:H4HotelBerlinAlexand'!D134)</f>
        <v>44579</v>
      </c>
      <c r="E134" s="46">
        <f>SUM('H+HotelBerlinMitte:H4HotelBerlinAlexand'!E134)</f>
        <v>44579</v>
      </c>
      <c r="F134" s="67">
        <f>IFERROR(E134-C134,0)</f>
        <v>164.75</v>
      </c>
      <c r="G134" s="45">
        <f>SUM('H+HotelBerlinMitte:H4HotelBerlinAlexand'!G134)</f>
        <v>30067</v>
      </c>
      <c r="H134" s="67">
        <f>IFERROR(E134-G134,0)</f>
        <v>14512</v>
      </c>
      <c r="I134" s="21"/>
      <c r="J134" s="22"/>
      <c r="K134" s="52">
        <f>SUM('H+HotelBerlinMitte:H4HotelBerlinAlexand'!K134)</f>
        <v>44579</v>
      </c>
      <c r="L134" s="67">
        <f>IFERROR(E134-K134,0)</f>
        <v>0</v>
      </c>
      <c r="M134" s="73"/>
      <c r="N134" s="74"/>
    </row>
    <row r="135" spans="1:14" s="27" customFormat="1" ht="15" customHeight="1" thickBot="1" x14ac:dyDescent="0.35">
      <c r="A135" s="5"/>
      <c r="B135" s="6" t="s">
        <v>12</v>
      </c>
      <c r="C135" s="15">
        <f>IFERROR(C134/C131,0)</f>
        <v>1.825868448098664</v>
      </c>
      <c r="D135" s="15">
        <f>IFERROR(D134/D131,0)</f>
        <v>1.7003203905713631</v>
      </c>
      <c r="E135" s="15">
        <f>IFERROR(E134/E131,0)</f>
        <v>1.7003203905713631</v>
      </c>
      <c r="F135" s="69">
        <f>IFERROR(E135-C135,0)</f>
        <v>-0.12554805752730092</v>
      </c>
      <c r="G135" s="15">
        <f>IFERROR(G134/G131,0)</f>
        <v>1.8906495629755391</v>
      </c>
      <c r="H135" s="69">
        <f>IFERROR(E135-G135,0)</f>
        <v>-0.19032917240417602</v>
      </c>
      <c r="I135" s="21"/>
      <c r="J135" s="22"/>
      <c r="K135" s="55">
        <f>IFERROR(K134/K131,0)</f>
        <v>1.7003203905713631</v>
      </c>
      <c r="L135" s="69">
        <f>IFERROR(E135-K135,0)</f>
        <v>0</v>
      </c>
      <c r="M135" s="73"/>
      <c r="N135" s="74"/>
    </row>
    <row r="136" spans="1:14" s="27" customFormat="1" ht="5.0999999999999996" customHeight="1" thickBot="1" x14ac:dyDescent="0.35">
      <c r="A136" s="5"/>
      <c r="B136" s="6"/>
      <c r="C136" s="7"/>
      <c r="D136" s="13"/>
      <c r="E136" s="14"/>
      <c r="F136" s="69"/>
      <c r="G136" s="13"/>
      <c r="H136" s="69"/>
      <c r="I136" s="21"/>
      <c r="J136" s="22"/>
      <c r="K136" s="54"/>
      <c r="L136" s="69"/>
      <c r="M136" s="73"/>
      <c r="N136" s="74"/>
    </row>
    <row r="137" spans="1:14" s="27" customFormat="1" ht="15" customHeight="1" thickBot="1" x14ac:dyDescent="0.35">
      <c r="A137" s="5"/>
      <c r="B137" s="6" t="s">
        <v>13</v>
      </c>
      <c r="C137" s="15">
        <f>IFERROR(C126/C131,0)</f>
        <v>83.35092045220965</v>
      </c>
      <c r="D137" s="15">
        <f>IFERROR(D126/D131,0)</f>
        <v>70.779299717751158</v>
      </c>
      <c r="E137" s="15">
        <f>IFERROR(E126/E131,0)</f>
        <v>70.779299717751158</v>
      </c>
      <c r="F137" s="69">
        <f>IFERROR(E137-C137,0)</f>
        <v>-12.571620734458492</v>
      </c>
      <c r="G137" s="15">
        <f>IFERROR(G126/G131,0)</f>
        <v>66.237746965981273</v>
      </c>
      <c r="H137" s="69">
        <f>IFERROR(E137-G137,0)</f>
        <v>4.5415527517698848</v>
      </c>
      <c r="I137" s="21">
        <f>IFERROR(E137/C137-1,0)</f>
        <v>-0.15082761733467109</v>
      </c>
      <c r="J137" s="22">
        <f>IFERROR(E137/G137-1,0)</f>
        <v>6.856442073886293E-2</v>
      </c>
      <c r="K137" s="55">
        <f>IFERROR(K126/K131,0)</f>
        <v>70.779299717751158</v>
      </c>
      <c r="L137" s="69">
        <f>IFERROR(E137-K137,0)</f>
        <v>0</v>
      </c>
      <c r="M137" s="73"/>
      <c r="N137" s="74"/>
    </row>
    <row r="138" spans="1:14" s="38" customFormat="1" ht="15" customHeight="1" thickBot="1" x14ac:dyDescent="0.35">
      <c r="A138" s="9"/>
      <c r="B138" s="10" t="s">
        <v>14</v>
      </c>
      <c r="C138" s="16">
        <f>IFERROR(C126/C130,0)</f>
        <v>65.013504136471497</v>
      </c>
      <c r="D138" s="16">
        <f>IFERROR(D126/D130,0)</f>
        <v>59.503997947797082</v>
      </c>
      <c r="E138" s="16">
        <f>IFERROR(E126/E130,0)</f>
        <v>59.503997947797082</v>
      </c>
      <c r="F138" s="70">
        <f t="shared" ref="F138:F139" si="52">IFERROR(E138-C138,0)</f>
        <v>-5.5095061886744148</v>
      </c>
      <c r="G138" s="16">
        <f>IFERROR(G126/G130,0)</f>
        <v>33.777300391201187</v>
      </c>
      <c r="H138" s="70">
        <f t="shared" ref="H138:H139" si="53">IFERROR(E138-G138,0)</f>
        <v>25.726697556595894</v>
      </c>
      <c r="I138" s="20">
        <f>IFERROR(E138/C138-1,0)</f>
        <v>-8.4744027596317051E-2</v>
      </c>
      <c r="J138" s="11">
        <f>IFERROR(E138/G138-1,0)</f>
        <v>0.76165641595494615</v>
      </c>
      <c r="K138" s="56">
        <f>IFERROR(K126/K130,0)</f>
        <v>59.503997947797082</v>
      </c>
      <c r="L138" s="70">
        <f>IFERROR(E138-K138,0)</f>
        <v>0</v>
      </c>
      <c r="M138" s="73"/>
      <c r="N138" s="74"/>
    </row>
    <row r="139" spans="1:14" ht="15" customHeight="1" thickBot="1" x14ac:dyDescent="0.35">
      <c r="A139" s="17"/>
      <c r="B139" s="18" t="s">
        <v>34</v>
      </c>
      <c r="C139" s="19">
        <f>IFERROR(C125/C131,0)</f>
        <v>102.89471437259783</v>
      </c>
      <c r="D139" s="19">
        <f>IFERROR(D125/D131,0)</f>
        <v>93.350799832176349</v>
      </c>
      <c r="E139" s="19">
        <f>IFERROR(E125/E131,0)</f>
        <v>93.350799832176349</v>
      </c>
      <c r="F139" s="72">
        <f t="shared" si="52"/>
        <v>-9.5439145404214827</v>
      </c>
      <c r="G139" s="19">
        <f>IFERROR(G125/G131,0)</f>
        <v>90.886184367729371</v>
      </c>
      <c r="H139" s="72">
        <f t="shared" si="53"/>
        <v>2.4646154644469789</v>
      </c>
      <c r="I139" s="25">
        <f>IFERROR(E139/C139-1,0)</f>
        <v>-9.2754176913903197E-2</v>
      </c>
      <c r="J139" s="26">
        <f>IFERROR(E139/G139-1,0)</f>
        <v>2.7117602984354949E-2</v>
      </c>
      <c r="K139" s="57">
        <f>IFERROR(K125/K131,0)</f>
        <v>93.350799832176349</v>
      </c>
      <c r="L139" s="72">
        <f>IFERROR(E139-K139,0)</f>
        <v>0</v>
      </c>
      <c r="M139" s="73"/>
      <c r="N139" s="74"/>
    </row>
    <row r="140" spans="1:14" s="27" customFormat="1" ht="15" customHeight="1" thickBot="1" x14ac:dyDescent="0.35">
      <c r="A140" s="1"/>
      <c r="B140" s="2" t="s">
        <v>17</v>
      </c>
      <c r="C140" s="3">
        <f>SUM(C141:C143)</f>
        <v>4024383.670343501</v>
      </c>
      <c r="D140" s="3">
        <f>SUM(D141:D143)</f>
        <v>2482318.3799999994</v>
      </c>
      <c r="E140" s="4">
        <f>SUM('H+HotelBerlinMitte:H4HotelBerlinAlexand'!E140)</f>
        <v>2482318.38</v>
      </c>
      <c r="F140" s="71">
        <f>IFERROR(SUM(F141:F143),0)</f>
        <v>-1542065.2903435016</v>
      </c>
      <c r="G140" s="3">
        <f>SUM(G141:G143)</f>
        <v>1209610.1200000001</v>
      </c>
      <c r="H140" s="71">
        <f>IFERROR(E140-G140,0)</f>
        <v>1272708.2599999998</v>
      </c>
      <c r="I140" s="20">
        <f>IFERROR(E140/C140-1,0)</f>
        <v>-0.383180485923172</v>
      </c>
      <c r="J140" s="11">
        <f>IFERROR(E140/G140-1,0)</f>
        <v>1.0521640311673317</v>
      </c>
      <c r="K140" s="51">
        <f>SUM('H+HotelBerlinMitte:H4HotelBerlinAlexand'!K140)</f>
        <v>2482318.38</v>
      </c>
      <c r="L140" s="71">
        <f>IFERROR(SUM(L141:L143),0)</f>
        <v>-2.6193447411060333E-10</v>
      </c>
      <c r="M140" s="73"/>
      <c r="N140" s="74"/>
    </row>
    <row r="141" spans="1:14" s="27" customFormat="1" ht="15" customHeight="1" thickBot="1" x14ac:dyDescent="0.35">
      <c r="A141" s="5"/>
      <c r="B141" s="6" t="s">
        <v>5</v>
      </c>
      <c r="C141" s="45">
        <f>SUM('H+HotelBerlinMitte:H4HotelBerlinAlexand'!C141)</f>
        <v>3254937.79</v>
      </c>
      <c r="D141" s="45">
        <f>SUM('H+HotelBerlinMitte:H4HotelBerlinAlexand'!D141)</f>
        <v>1835919.4599999997</v>
      </c>
      <c r="E141" s="45">
        <f>SUM('H+HotelBerlinMitte:H4HotelBerlinAlexand'!E141)</f>
        <v>1835919.4599999997</v>
      </c>
      <c r="F141" s="67">
        <f>IFERROR(E141-C141,0)</f>
        <v>-1419018.3300000003</v>
      </c>
      <c r="G141" s="45">
        <f>SUM('H+HotelBerlinMitte:H4HotelBerlinAlexand'!G141)</f>
        <v>862486.32000000007</v>
      </c>
      <c r="H141" s="67">
        <f t="shared" ref="H141:H143" si="54">IFERROR(E141-G141,0)</f>
        <v>973433.13999999966</v>
      </c>
      <c r="I141" s="21">
        <f t="shared" ref="I141:I143" si="55">IFERROR(E141/C141-1,0)</f>
        <v>-0.43595866389815097</v>
      </c>
      <c r="J141" s="22">
        <f t="shared" ref="J141:J143" si="56">IFERROR(E141/G141-1,0)</f>
        <v>1.1286360344822626</v>
      </c>
      <c r="K141" s="52">
        <f>SUM('H+HotelBerlinMitte:H4HotelBerlinAlexand'!K141)</f>
        <v>1835919.46</v>
      </c>
      <c r="L141" s="67">
        <f>IFERROR(E141-K141,0)</f>
        <v>-2.3283064365386963E-10</v>
      </c>
      <c r="M141" s="73"/>
      <c r="N141" s="74"/>
    </row>
    <row r="142" spans="1:14" s="27" customFormat="1" ht="15" customHeight="1" thickBot="1" x14ac:dyDescent="0.35">
      <c r="A142" s="5"/>
      <c r="B142" s="6" t="s">
        <v>6</v>
      </c>
      <c r="C142" s="45">
        <f>SUM('H+HotelBerlinMitte:H4HotelBerlinAlexand'!C142)</f>
        <v>514922.93685610616</v>
      </c>
      <c r="D142" s="45">
        <f>SUM('H+HotelBerlinMitte:H4HotelBerlinAlexand'!D142)</f>
        <v>438797.55999999988</v>
      </c>
      <c r="E142" s="45">
        <f>SUM('H+HotelBerlinMitte:H4HotelBerlinAlexand'!E142)</f>
        <v>438797.55999999988</v>
      </c>
      <c r="F142" s="67">
        <f t="shared" ref="F142:F143" si="57">IFERROR(E142-C142,0)</f>
        <v>-76125.376856106275</v>
      </c>
      <c r="G142" s="45">
        <f>SUM('H+HotelBerlinMitte:H4HotelBerlinAlexand'!G142)</f>
        <v>212853.45</v>
      </c>
      <c r="H142" s="67">
        <f t="shared" si="54"/>
        <v>225944.10999999987</v>
      </c>
      <c r="I142" s="21">
        <f t="shared" si="55"/>
        <v>-0.14783838785837444</v>
      </c>
      <c r="J142" s="22">
        <f t="shared" si="56"/>
        <v>1.061500811943616</v>
      </c>
      <c r="K142" s="52">
        <f>SUM('H+HotelBerlinMitte:H4HotelBerlinAlexand'!K142)</f>
        <v>438797.55999999994</v>
      </c>
      <c r="L142" s="67">
        <f>IFERROR(E142-K142,0)</f>
        <v>-5.8207660913467407E-11</v>
      </c>
      <c r="M142" s="73"/>
      <c r="N142" s="74"/>
    </row>
    <row r="143" spans="1:14" s="27" customFormat="1" ht="15" customHeight="1" thickBot="1" x14ac:dyDescent="0.35">
      <c r="A143" s="5"/>
      <c r="B143" s="6" t="s">
        <v>7</v>
      </c>
      <c r="C143" s="45">
        <f>SUM('H+HotelBerlinMitte:H4HotelBerlinAlexand'!C143)</f>
        <v>254522.94348739495</v>
      </c>
      <c r="D143" s="45">
        <f>SUM('H+HotelBerlinMitte:H4HotelBerlinAlexand'!D143)</f>
        <v>207601.36000000002</v>
      </c>
      <c r="E143" s="45">
        <f>SUM('H+HotelBerlinMitte:H4HotelBerlinAlexand'!E143)</f>
        <v>207601.36000000002</v>
      </c>
      <c r="F143" s="67">
        <f t="shared" si="57"/>
        <v>-46921.583487394935</v>
      </c>
      <c r="G143" s="45">
        <f>SUM('H+HotelBerlinMitte:H4HotelBerlinAlexand'!G143)</f>
        <v>134270.35</v>
      </c>
      <c r="H143" s="67">
        <f t="shared" si="54"/>
        <v>73331.010000000009</v>
      </c>
      <c r="I143" s="21">
        <f t="shared" si="55"/>
        <v>-0.18435109560061602</v>
      </c>
      <c r="J143" s="22">
        <f t="shared" si="56"/>
        <v>0.54614447642387165</v>
      </c>
      <c r="K143" s="52">
        <f>SUM('H+HotelBerlinMitte:H4HotelBerlinAlexand'!K143)</f>
        <v>207601.36</v>
      </c>
      <c r="L143" s="67">
        <f>IFERROR(E143-K143,0)</f>
        <v>2.9103830456733704E-11</v>
      </c>
      <c r="M143" s="73"/>
      <c r="N143" s="74"/>
    </row>
    <row r="144" spans="1:14" s="27" customFormat="1" ht="5.0999999999999996" customHeight="1" thickBot="1" x14ac:dyDescent="0.35">
      <c r="A144" s="5"/>
      <c r="B144" s="6"/>
      <c r="C144" s="7"/>
      <c r="D144" s="7"/>
      <c r="E144" s="8"/>
      <c r="F144" s="67"/>
      <c r="G144" s="7"/>
      <c r="H144" s="67"/>
      <c r="I144" s="21"/>
      <c r="J144" s="21"/>
      <c r="K144" s="53"/>
      <c r="L144" s="67"/>
      <c r="M144" s="73"/>
      <c r="N144" s="74"/>
    </row>
    <row r="145" spans="1:14" s="27" customFormat="1" ht="15" customHeight="1" thickBot="1" x14ac:dyDescent="0.35">
      <c r="A145" s="5"/>
      <c r="B145" s="6" t="s">
        <v>8</v>
      </c>
      <c r="C145" s="45">
        <f>SUM('H+HotelBerlinMitte:H4HotelBerlinAlexand'!C145)</f>
        <v>30180</v>
      </c>
      <c r="D145" s="45">
        <f>SUM('H+HotelBerlinMitte:H4HotelBerlinAlexand'!D145)</f>
        <v>30180</v>
      </c>
      <c r="E145" s="46">
        <f>SUM('H+HotelBerlinMitte:H4HotelBerlinAlexand'!E145)</f>
        <v>30180</v>
      </c>
      <c r="F145" s="67">
        <f>IFERROR(E145-C145,0)</f>
        <v>0</v>
      </c>
      <c r="G145" s="45">
        <f>SUM('H+HotelBerlinMitte:H4HotelBerlinAlexand'!G145)</f>
        <v>30180</v>
      </c>
      <c r="H145" s="67">
        <f>IFERROR(E145-G145,0)</f>
        <v>0</v>
      </c>
      <c r="I145" s="23"/>
      <c r="J145" s="24"/>
      <c r="K145" s="52">
        <f>SUM('H+HotelBerlinMitte:H4HotelBerlinAlexand'!K145)</f>
        <v>30180</v>
      </c>
      <c r="L145" s="67">
        <f>IFERROR(E145-K145,0)</f>
        <v>0</v>
      </c>
      <c r="M145" s="73"/>
      <c r="N145" s="74"/>
    </row>
    <row r="146" spans="1:14" s="27" customFormat="1" ht="15" customHeight="1" thickBot="1" x14ac:dyDescent="0.35">
      <c r="A146" s="5"/>
      <c r="B146" s="6" t="s">
        <v>9</v>
      </c>
      <c r="C146" s="45">
        <f>SUM('H+HotelBerlinMitte:H4HotelBerlinAlexand'!C146)</f>
        <v>26050</v>
      </c>
      <c r="D146" s="45">
        <f>SUM('H+HotelBerlinMitte:H4HotelBerlinAlexand'!D146)</f>
        <v>22564</v>
      </c>
      <c r="E146" s="46">
        <f>SUM('H+HotelBerlinMitte:H4HotelBerlinAlexand'!E146)</f>
        <v>22564</v>
      </c>
      <c r="F146" s="67">
        <f>IFERROR(E146-C146,0)</f>
        <v>-3486</v>
      </c>
      <c r="G146" s="45">
        <f>SUM('H+HotelBerlinMitte:H4HotelBerlinAlexand'!G146)</f>
        <v>12688</v>
      </c>
      <c r="H146" s="67">
        <f>IFERROR(E146-G146,0)</f>
        <v>9876</v>
      </c>
      <c r="I146" s="23"/>
      <c r="J146" s="24"/>
      <c r="K146" s="52">
        <f>SUM('H+HotelBerlinMitte:H4HotelBerlinAlexand'!K146)</f>
        <v>22564</v>
      </c>
      <c r="L146" s="67">
        <f>IFERROR(E146-K146,0)</f>
        <v>0</v>
      </c>
      <c r="M146" s="73"/>
      <c r="N146" s="74"/>
    </row>
    <row r="147" spans="1:14" s="38" customFormat="1" ht="15" customHeight="1" thickBot="1" x14ac:dyDescent="0.35">
      <c r="A147" s="9"/>
      <c r="B147" s="10" t="s">
        <v>10</v>
      </c>
      <c r="C147" s="11">
        <f>IFERROR(C146/C145,0)</f>
        <v>0.86315440689198142</v>
      </c>
      <c r="D147" s="11">
        <f>IFERROR(D146/D145,0)</f>
        <v>0.74764744864148447</v>
      </c>
      <c r="E147" s="11">
        <f>IFERROR(E146/E145,0)</f>
        <v>0.74764744864148447</v>
      </c>
      <c r="F147" s="68">
        <f>IFERROR(E147-C147,0)</f>
        <v>-0.11550695825049695</v>
      </c>
      <c r="G147" s="11">
        <f>IFERROR(G146/G145,0)</f>
        <v>0.42041086812458583</v>
      </c>
      <c r="H147" s="68">
        <f>IFERROR(E147-G147,0)</f>
        <v>0.32723658051689863</v>
      </c>
      <c r="I147" s="20">
        <f>IFERROR(E147/C147-1,0)</f>
        <v>-0.13381957773512465</v>
      </c>
      <c r="J147" s="11">
        <f>IFERROR(E147/G147-1,0)</f>
        <v>0.77837326607818413</v>
      </c>
      <c r="K147" s="12">
        <f>IFERROR(K146/K145,0)</f>
        <v>0.74764744864148447</v>
      </c>
      <c r="L147" s="68">
        <f>IFERROR(E147-K147,0)</f>
        <v>0</v>
      </c>
      <c r="M147" s="73"/>
      <c r="N147" s="74"/>
    </row>
    <row r="148" spans="1:14" s="27" customFormat="1" ht="5.0999999999999996" customHeight="1" thickBot="1" x14ac:dyDescent="0.35">
      <c r="A148" s="5"/>
      <c r="B148" s="6"/>
      <c r="C148" s="7"/>
      <c r="D148" s="13"/>
      <c r="E148" s="14"/>
      <c r="F148" s="67"/>
      <c r="G148" s="13"/>
      <c r="H148" s="67"/>
      <c r="I148" s="21"/>
      <c r="J148" s="22"/>
      <c r="K148" s="54"/>
      <c r="L148" s="67"/>
      <c r="M148" s="73"/>
      <c r="N148" s="74"/>
    </row>
    <row r="149" spans="1:14" s="27" customFormat="1" ht="15" customHeight="1" thickBot="1" x14ac:dyDescent="0.35">
      <c r="A149" s="5"/>
      <c r="B149" s="6" t="s">
        <v>11</v>
      </c>
      <c r="C149" s="45">
        <f>SUM('H+HotelBerlinMitte:H4HotelBerlinAlexand'!C149)</f>
        <v>42050.75</v>
      </c>
      <c r="D149" s="45">
        <f>SUM('H+HotelBerlinMitte:H4HotelBerlinAlexand'!D149)</f>
        <v>37997</v>
      </c>
      <c r="E149" s="46">
        <f>SUM('H+HotelBerlinMitte:H4HotelBerlinAlexand'!E149)</f>
        <v>37997</v>
      </c>
      <c r="F149" s="67">
        <f>IFERROR(E149-C149,0)</f>
        <v>-4053.75</v>
      </c>
      <c r="G149" s="45">
        <f>SUM('H+HotelBerlinMitte:H4HotelBerlinAlexand'!G149)</f>
        <v>21119</v>
      </c>
      <c r="H149" s="67">
        <f>IFERROR(E149-G149,0)</f>
        <v>16878</v>
      </c>
      <c r="I149" s="21"/>
      <c r="J149" s="22"/>
      <c r="K149" s="52">
        <f>SUM('H+HotelBerlinMitte:H4HotelBerlinAlexand'!K149)</f>
        <v>37997</v>
      </c>
      <c r="L149" s="67">
        <f>IFERROR(E149-K149,0)</f>
        <v>0</v>
      </c>
      <c r="M149" s="73"/>
      <c r="N149" s="74"/>
    </row>
    <row r="150" spans="1:14" s="27" customFormat="1" ht="15" customHeight="1" thickBot="1" x14ac:dyDescent="0.35">
      <c r="A150" s="5"/>
      <c r="B150" s="6" t="s">
        <v>12</v>
      </c>
      <c r="C150" s="15">
        <f>IFERROR(C149/C146,0)</f>
        <v>1.614232245681382</v>
      </c>
      <c r="D150" s="15">
        <f>IFERROR(D149/D146,0)</f>
        <v>1.683965608934586</v>
      </c>
      <c r="E150" s="15">
        <f>IFERROR(E149/E146,0)</f>
        <v>1.683965608934586</v>
      </c>
      <c r="F150" s="69">
        <f>IFERROR(E150-C150,0)</f>
        <v>6.9733363253204006E-2</v>
      </c>
      <c r="G150" s="15">
        <f>IFERROR(G149/G146,0)</f>
        <v>1.6644861286254728</v>
      </c>
      <c r="H150" s="69">
        <f>IFERROR(E150-G150,0)</f>
        <v>1.9479480309113173E-2</v>
      </c>
      <c r="I150" s="21"/>
      <c r="J150" s="22"/>
      <c r="K150" s="55">
        <f>IFERROR(K149/K146,0)</f>
        <v>1.683965608934586</v>
      </c>
      <c r="L150" s="69">
        <f>IFERROR(E150-K150,0)</f>
        <v>0</v>
      </c>
      <c r="M150" s="73"/>
      <c r="N150" s="74"/>
    </row>
    <row r="151" spans="1:14" s="27" customFormat="1" ht="5.0999999999999996" customHeight="1" thickBot="1" x14ac:dyDescent="0.35">
      <c r="A151" s="5"/>
      <c r="B151" s="6"/>
      <c r="C151" s="7"/>
      <c r="D151" s="13"/>
      <c r="E151" s="14"/>
      <c r="F151" s="69"/>
      <c r="G151" s="13"/>
      <c r="H151" s="69"/>
      <c r="I151" s="21"/>
      <c r="J151" s="22"/>
      <c r="K151" s="54"/>
      <c r="L151" s="69"/>
      <c r="M151" s="73"/>
      <c r="N151" s="74"/>
    </row>
    <row r="152" spans="1:14" s="27" customFormat="1" ht="15" customHeight="1" thickBot="1" x14ac:dyDescent="0.35">
      <c r="A152" s="5"/>
      <c r="B152" s="6" t="s">
        <v>13</v>
      </c>
      <c r="C152" s="15">
        <f>IFERROR(C141/C146,0)</f>
        <v>124.94962725527832</v>
      </c>
      <c r="D152" s="15">
        <f>IFERROR(D141/D146,0)</f>
        <v>81.364982272646685</v>
      </c>
      <c r="E152" s="15">
        <f>IFERROR(E141/E146,0)</f>
        <v>81.364982272646685</v>
      </c>
      <c r="F152" s="69">
        <f>IFERROR(E152-C152,0)</f>
        <v>-43.58464498263163</v>
      </c>
      <c r="G152" s="15">
        <f>IFERROR(G141/G146,0)</f>
        <v>67.976538461538468</v>
      </c>
      <c r="H152" s="69">
        <f>IFERROR(E152-G152,0)</f>
        <v>13.388443811108218</v>
      </c>
      <c r="I152" s="21">
        <f>IFERROR(E152/C152-1,0)</f>
        <v>-0.34881772711163062</v>
      </c>
      <c r="J152" s="22">
        <f>IFERROR(E152/G152-1,0)</f>
        <v>0.19695683413893583</v>
      </c>
      <c r="K152" s="55">
        <f>IFERROR(K141/K146,0)</f>
        <v>81.364982272646685</v>
      </c>
      <c r="L152" s="69">
        <f>IFERROR(E152-K152,0)</f>
        <v>0</v>
      </c>
      <c r="M152" s="73"/>
      <c r="N152" s="74"/>
    </row>
    <row r="153" spans="1:14" s="38" customFormat="1" ht="15" customHeight="1" thickBot="1" x14ac:dyDescent="0.35">
      <c r="A153" s="9"/>
      <c r="B153" s="10" t="s">
        <v>14</v>
      </c>
      <c r="C153" s="16">
        <f>IFERROR(C141/C145,0)</f>
        <v>107.85082140490391</v>
      </c>
      <c r="D153" s="16">
        <f>IFERROR(D141/D145,0)</f>
        <v>60.832321404903901</v>
      </c>
      <c r="E153" s="16">
        <f>IFERROR(E141/E145,0)</f>
        <v>60.832321404903901</v>
      </c>
      <c r="F153" s="70">
        <f t="shared" ref="F153:F154" si="58">IFERROR(E153-C153,0)</f>
        <v>-47.01850000000001</v>
      </c>
      <c r="G153" s="16">
        <f>IFERROR(G141/G145,0)</f>
        <v>28.578075546719685</v>
      </c>
      <c r="H153" s="70">
        <f t="shared" ref="H153:H154" si="59">IFERROR(E153-G153,0)</f>
        <v>32.25424585818422</v>
      </c>
      <c r="I153" s="20">
        <f>IFERROR(E153/C153-1,0)</f>
        <v>-0.43595866389815097</v>
      </c>
      <c r="J153" s="11">
        <f>IFERROR(E153/G153-1,0)</f>
        <v>1.1286360344822621</v>
      </c>
      <c r="K153" s="56">
        <f>IFERROR(K141/K145,0)</f>
        <v>60.832321404903908</v>
      </c>
      <c r="L153" s="70">
        <f>IFERROR(E153-K153,0)</f>
        <v>-7.1054273576010019E-15</v>
      </c>
      <c r="M153" s="73"/>
      <c r="N153" s="74"/>
    </row>
    <row r="154" spans="1:14" ht="15" customHeight="1" thickBot="1" x14ac:dyDescent="0.35">
      <c r="A154" s="17"/>
      <c r="B154" s="18" t="s">
        <v>34</v>
      </c>
      <c r="C154" s="19">
        <f>IFERROR(C140/C146,0)</f>
        <v>154.48689713410752</v>
      </c>
      <c r="D154" s="19">
        <f>IFERROR(D140/D146,0)</f>
        <v>110.01233735153339</v>
      </c>
      <c r="E154" s="19">
        <f>IFERROR(E140/E146,0)</f>
        <v>110.01233735153342</v>
      </c>
      <c r="F154" s="72">
        <f t="shared" si="58"/>
        <v>-44.474559782574104</v>
      </c>
      <c r="G154" s="19">
        <f>IFERROR(G140/G146,0)</f>
        <v>95.334971626733932</v>
      </c>
      <c r="H154" s="72">
        <f t="shared" si="59"/>
        <v>14.677365724799486</v>
      </c>
      <c r="I154" s="25">
        <f>IFERROR(E154/C154-1,0)</f>
        <v>-0.28788564342752299</v>
      </c>
      <c r="J154" s="26">
        <f>IFERROR(E154/G154-1,0)</f>
        <v>0.15395573601538315</v>
      </c>
      <c r="K154" s="57">
        <f>IFERROR(K140/K146,0)</f>
        <v>110.01233735153342</v>
      </c>
      <c r="L154" s="72">
        <f>IFERROR(E154-K154,0)</f>
        <v>0</v>
      </c>
      <c r="M154" s="73"/>
      <c r="N154" s="74"/>
    </row>
    <row r="155" spans="1:14" s="27" customFormat="1" ht="15" customHeight="1" thickBot="1" x14ac:dyDescent="0.35">
      <c r="A155" s="1"/>
      <c r="B155" s="2" t="s">
        <v>18</v>
      </c>
      <c r="C155" s="3">
        <f>SUM(C156:C158)</f>
        <v>3382338.9018716342</v>
      </c>
      <c r="D155" s="3">
        <f>SUM(D156:D158)</f>
        <v>2977637.5399999996</v>
      </c>
      <c r="E155" s="4">
        <f>SUM('H+HotelBerlinMitte:H4HotelBerlinAlexand'!E155)</f>
        <v>2977637.5399999991</v>
      </c>
      <c r="F155" s="71">
        <f>IFERROR(SUM(F156:F158),0)</f>
        <v>-404701.36187163473</v>
      </c>
      <c r="G155" s="3">
        <f>SUM(G156:G158)</f>
        <v>918451.32</v>
      </c>
      <c r="H155" s="71">
        <f>IFERROR(E155-G155,0)</f>
        <v>2059186.2199999993</v>
      </c>
      <c r="I155" s="20">
        <f>IFERROR(E155/C155-1,0)</f>
        <v>-0.11965133406581219</v>
      </c>
      <c r="J155" s="11">
        <f>IFERROR(E155/G155-1,0)</f>
        <v>2.2420199907818734</v>
      </c>
      <c r="K155" s="51">
        <f>SUM('H+HotelBerlinMitte:H4HotelBerlinAlexand'!K155)</f>
        <v>2977637.5399999996</v>
      </c>
      <c r="L155" s="71">
        <f>IFERROR(SUM(L156:L158),0)</f>
        <v>0</v>
      </c>
      <c r="M155" s="73"/>
      <c r="N155" s="74"/>
    </row>
    <row r="156" spans="1:14" s="27" customFormat="1" ht="15" customHeight="1" thickBot="1" x14ac:dyDescent="0.35">
      <c r="A156" s="5"/>
      <c r="B156" s="6" t="s">
        <v>5</v>
      </c>
      <c r="C156" s="45">
        <f>SUM('H+HotelBerlinMitte:H4HotelBerlinAlexand'!C156)</f>
        <v>2600869.2800000003</v>
      </c>
      <c r="D156" s="45">
        <f>SUM('H+HotelBerlinMitte:H4HotelBerlinAlexand'!D156)</f>
        <v>2153130.8799999994</v>
      </c>
      <c r="E156" s="45">
        <f>SUM('H+HotelBerlinMitte:H4HotelBerlinAlexand'!E156)</f>
        <v>2153130.8799999994</v>
      </c>
      <c r="F156" s="67">
        <f>IFERROR(E156-C156,0)</f>
        <v>-447738.40000000084</v>
      </c>
      <c r="G156" s="45">
        <f>SUM('H+HotelBerlinMitte:H4HotelBerlinAlexand'!G156)</f>
        <v>511457.52</v>
      </c>
      <c r="H156" s="67">
        <f t="shared" ref="H156:H158" si="60">IFERROR(E156-G156,0)</f>
        <v>1641673.3599999994</v>
      </c>
      <c r="I156" s="21">
        <f t="shared" ref="I156:I158" si="61">IFERROR(E156/C156-1,0)</f>
        <v>-0.17214952071716605</v>
      </c>
      <c r="J156" s="22">
        <f t="shared" ref="J156:J158" si="62">IFERROR(E156/G156-1,0)</f>
        <v>3.2097941584669618</v>
      </c>
      <c r="K156" s="52">
        <f>SUM('H+HotelBerlinMitte:H4HotelBerlinAlexand'!K156)</f>
        <v>2153130.8799999994</v>
      </c>
      <c r="L156" s="67">
        <f>IFERROR(E156-K156,0)</f>
        <v>0</v>
      </c>
      <c r="M156" s="73"/>
      <c r="N156" s="74"/>
    </row>
    <row r="157" spans="1:14" s="27" customFormat="1" ht="15" customHeight="1" thickBot="1" x14ac:dyDescent="0.35">
      <c r="A157" s="5"/>
      <c r="B157" s="6" t="s">
        <v>6</v>
      </c>
      <c r="C157" s="45">
        <f>SUM('H+HotelBerlinMitte:H4HotelBerlinAlexand'!C157)</f>
        <v>507486.21968676004</v>
      </c>
      <c r="D157" s="45">
        <f>SUM('H+HotelBerlinMitte:H4HotelBerlinAlexand'!D157)</f>
        <v>601406.74000000022</v>
      </c>
      <c r="E157" s="45">
        <f>SUM('H+HotelBerlinMitte:H4HotelBerlinAlexand'!E157)</f>
        <v>601406.74000000022</v>
      </c>
      <c r="F157" s="67">
        <f t="shared" ref="F157:F158" si="63">IFERROR(E157-C157,0)</f>
        <v>93920.52031324018</v>
      </c>
      <c r="G157" s="45">
        <f>SUM('H+HotelBerlinMitte:H4HotelBerlinAlexand'!G157)</f>
        <v>165099.79</v>
      </c>
      <c r="H157" s="67">
        <f t="shared" si="60"/>
        <v>436306.95000000019</v>
      </c>
      <c r="I157" s="21">
        <f t="shared" si="61"/>
        <v>0.18507008992522311</v>
      </c>
      <c r="J157" s="22">
        <f t="shared" si="62"/>
        <v>2.6426862808244649</v>
      </c>
      <c r="K157" s="52">
        <f>SUM('H+HotelBerlinMitte:H4HotelBerlinAlexand'!K157)</f>
        <v>601406.74000000034</v>
      </c>
      <c r="L157" s="67">
        <f>IFERROR(E157-K157,0)</f>
        <v>-1.1641532182693481E-10</v>
      </c>
      <c r="M157" s="73"/>
      <c r="N157" s="74"/>
    </row>
    <row r="158" spans="1:14" s="27" customFormat="1" ht="15" customHeight="1" thickBot="1" x14ac:dyDescent="0.35">
      <c r="A158" s="5"/>
      <c r="B158" s="6" t="s">
        <v>7</v>
      </c>
      <c r="C158" s="45">
        <f>SUM('H+HotelBerlinMitte:H4HotelBerlinAlexand'!C158)</f>
        <v>273983.40218487394</v>
      </c>
      <c r="D158" s="45">
        <f>SUM('H+HotelBerlinMitte:H4HotelBerlinAlexand'!D158)</f>
        <v>223099.9199999999</v>
      </c>
      <c r="E158" s="45">
        <f>SUM('H+HotelBerlinMitte:H4HotelBerlinAlexand'!E158)</f>
        <v>223099.9199999999</v>
      </c>
      <c r="F158" s="67">
        <f t="shared" si="63"/>
        <v>-50883.482184874039</v>
      </c>
      <c r="G158" s="45">
        <f>SUM('H+HotelBerlinMitte:H4HotelBerlinAlexand'!G158)</f>
        <v>241894.00999999989</v>
      </c>
      <c r="H158" s="67">
        <f t="shared" si="60"/>
        <v>-18794.089999999997</v>
      </c>
      <c r="I158" s="21">
        <f t="shared" si="61"/>
        <v>-0.18571738937141791</v>
      </c>
      <c r="J158" s="22">
        <f t="shared" si="62"/>
        <v>-7.7695557653535974E-2</v>
      </c>
      <c r="K158" s="52">
        <f>SUM('H+HotelBerlinMitte:H4HotelBerlinAlexand'!K158)</f>
        <v>223099.91999999978</v>
      </c>
      <c r="L158" s="67">
        <f>IFERROR(E158-K158,0)</f>
        <v>1.1641532182693481E-10</v>
      </c>
      <c r="M158" s="73"/>
      <c r="N158" s="74"/>
    </row>
    <row r="159" spans="1:14" s="27" customFormat="1" ht="5.0999999999999996" customHeight="1" thickBot="1" x14ac:dyDescent="0.35">
      <c r="A159" s="5"/>
      <c r="B159" s="6"/>
      <c r="C159" s="7"/>
      <c r="D159" s="7"/>
      <c r="E159" s="8"/>
      <c r="F159" s="67"/>
      <c r="G159" s="7"/>
      <c r="H159" s="67"/>
      <c r="I159" s="21"/>
      <c r="J159" s="21"/>
      <c r="K159" s="53"/>
      <c r="L159" s="67"/>
      <c r="M159" s="73"/>
      <c r="N159" s="74"/>
    </row>
    <row r="160" spans="1:14" s="27" customFormat="1" ht="15" customHeight="1" thickBot="1" x14ac:dyDescent="0.35">
      <c r="A160" s="5"/>
      <c r="B160" s="6" t="s">
        <v>8</v>
      </c>
      <c r="C160" s="45">
        <f>SUM('H+HotelBerlinMitte:H4HotelBerlinAlexand'!C160)</f>
        <v>31186</v>
      </c>
      <c r="D160" s="45">
        <f>SUM('H+HotelBerlinMitte:H4HotelBerlinAlexand'!D160)</f>
        <v>31186</v>
      </c>
      <c r="E160" s="46">
        <f>SUM('H+HotelBerlinMitte:H4HotelBerlinAlexand'!E160)</f>
        <v>31186</v>
      </c>
      <c r="F160" s="67">
        <f>IFERROR(E160-C160,0)</f>
        <v>0</v>
      </c>
      <c r="G160" s="45">
        <f>SUM('H+HotelBerlinMitte:H4HotelBerlinAlexand'!G160)</f>
        <v>31186</v>
      </c>
      <c r="H160" s="67">
        <f>IFERROR(E160-G160,0)</f>
        <v>0</v>
      </c>
      <c r="I160" s="23"/>
      <c r="J160" s="24"/>
      <c r="K160" s="52">
        <f>SUM('H+HotelBerlinMitte:H4HotelBerlinAlexand'!K160)</f>
        <v>31186</v>
      </c>
      <c r="L160" s="67">
        <f>IFERROR(E160-K160,0)</f>
        <v>0</v>
      </c>
      <c r="M160" s="73"/>
      <c r="N160" s="74"/>
    </row>
    <row r="161" spans="1:14" s="27" customFormat="1" ht="15" customHeight="1" thickBot="1" x14ac:dyDescent="0.35">
      <c r="A161" s="5"/>
      <c r="B161" s="6" t="s">
        <v>9</v>
      </c>
      <c r="C161" s="45">
        <f>SUM('H+HotelBerlinMitte:H4HotelBerlinAlexand'!C161)</f>
        <v>26200</v>
      </c>
      <c r="D161" s="45">
        <f>SUM('H+HotelBerlinMitte:H4HotelBerlinAlexand'!D161)</f>
        <v>26799</v>
      </c>
      <c r="E161" s="46">
        <f>SUM('H+HotelBerlinMitte:H4HotelBerlinAlexand'!E161)</f>
        <v>26799</v>
      </c>
      <c r="F161" s="67">
        <f>IFERROR(E161-C161,0)</f>
        <v>599</v>
      </c>
      <c r="G161" s="45">
        <f>SUM('H+HotelBerlinMitte:H4HotelBerlinAlexand'!G161)</f>
        <v>7439</v>
      </c>
      <c r="H161" s="67">
        <f>IFERROR(E161-G161,0)</f>
        <v>19360</v>
      </c>
      <c r="I161" s="23"/>
      <c r="J161" s="24"/>
      <c r="K161" s="52">
        <f>SUM('H+HotelBerlinMitte:H4HotelBerlinAlexand'!K161)</f>
        <v>26799</v>
      </c>
      <c r="L161" s="67">
        <f>IFERROR(E161-K161,0)</f>
        <v>0</v>
      </c>
      <c r="M161" s="73"/>
      <c r="N161" s="74"/>
    </row>
    <row r="162" spans="1:14" s="38" customFormat="1" ht="15" customHeight="1" thickBot="1" x14ac:dyDescent="0.35">
      <c r="A162" s="9"/>
      <c r="B162" s="10" t="s">
        <v>10</v>
      </c>
      <c r="C162" s="11">
        <f>IFERROR(C161/C160,0)</f>
        <v>0.8401205669210543</v>
      </c>
      <c r="D162" s="11">
        <f>IFERROR(D161/D160,0)</f>
        <v>0.85932790354646316</v>
      </c>
      <c r="E162" s="11">
        <f>IFERROR(E161/E160,0)</f>
        <v>0.85932790354646316</v>
      </c>
      <c r="F162" s="68">
        <f>IFERROR(E162-C162,0)</f>
        <v>1.9207336625408855E-2</v>
      </c>
      <c r="G162" s="11">
        <f>IFERROR(G161/G160,0)</f>
        <v>0.23853652279869172</v>
      </c>
      <c r="H162" s="68">
        <f>IFERROR(E162-G162,0)</f>
        <v>0.6207913807477714</v>
      </c>
      <c r="I162" s="20">
        <f>IFERROR(E162/C162-1,0)</f>
        <v>2.2862595419847365E-2</v>
      </c>
      <c r="J162" s="11">
        <f>IFERROR(E162/G162-1,0)</f>
        <v>2.6025003360666754</v>
      </c>
      <c r="K162" s="12">
        <f>IFERROR(K161/K160,0)</f>
        <v>0.85932790354646316</v>
      </c>
      <c r="L162" s="68">
        <f>IFERROR(E162-K162,0)</f>
        <v>0</v>
      </c>
      <c r="M162" s="73"/>
      <c r="N162" s="74"/>
    </row>
    <row r="163" spans="1:14" s="27" customFormat="1" ht="5.0999999999999996" customHeight="1" thickBot="1" x14ac:dyDescent="0.35">
      <c r="A163" s="5"/>
      <c r="B163" s="6"/>
      <c r="C163" s="7"/>
      <c r="D163" s="13"/>
      <c r="E163" s="14"/>
      <c r="F163" s="67"/>
      <c r="G163" s="13"/>
      <c r="H163" s="67"/>
      <c r="I163" s="21"/>
      <c r="J163" s="22"/>
      <c r="K163" s="54"/>
      <c r="L163" s="67"/>
      <c r="M163" s="73"/>
      <c r="N163" s="74"/>
    </row>
    <row r="164" spans="1:14" s="27" customFormat="1" ht="15" customHeight="1" thickBot="1" x14ac:dyDescent="0.35">
      <c r="A164" s="5"/>
      <c r="B164" s="6" t="s">
        <v>11</v>
      </c>
      <c r="C164" s="45">
        <f>SUM('H+HotelBerlinMitte:H4HotelBerlinAlexand'!C164)</f>
        <v>42571.100000049999</v>
      </c>
      <c r="D164" s="45">
        <f>SUM('H+HotelBerlinMitte:H4HotelBerlinAlexand'!D164)</f>
        <v>44417</v>
      </c>
      <c r="E164" s="46">
        <f>SUM('H+HotelBerlinMitte:H4HotelBerlinAlexand'!E164)</f>
        <v>44417</v>
      </c>
      <c r="F164" s="67">
        <f>IFERROR(E164-C164,0)</f>
        <v>1845.8999999500011</v>
      </c>
      <c r="G164" s="45">
        <f>SUM('H+HotelBerlinMitte:H4HotelBerlinAlexand'!G164)</f>
        <v>12454</v>
      </c>
      <c r="H164" s="67">
        <f>IFERROR(E164-G164,0)</f>
        <v>31963</v>
      </c>
      <c r="I164" s="21"/>
      <c r="J164" s="22"/>
      <c r="K164" s="52">
        <f>SUM('H+HotelBerlinMitte:H4HotelBerlinAlexand'!K164)</f>
        <v>44417</v>
      </c>
      <c r="L164" s="67">
        <f>IFERROR(E164-K164,0)</f>
        <v>0</v>
      </c>
      <c r="M164" s="73"/>
      <c r="N164" s="74"/>
    </row>
    <row r="165" spans="1:14" s="27" customFormat="1" ht="15" customHeight="1" thickBot="1" x14ac:dyDescent="0.35">
      <c r="A165" s="5"/>
      <c r="B165" s="6" t="s">
        <v>12</v>
      </c>
      <c r="C165" s="15">
        <f>IFERROR(C164/C161,0)</f>
        <v>1.6248511450400762</v>
      </c>
      <c r="D165" s="15">
        <f>IFERROR(D164/D161,0)</f>
        <v>1.6574125900220158</v>
      </c>
      <c r="E165" s="15">
        <f>IFERROR(E164/E161,0)</f>
        <v>1.6574125900220158</v>
      </c>
      <c r="F165" s="69">
        <f>IFERROR(E165-C165,0)</f>
        <v>3.256144498193958E-2</v>
      </c>
      <c r="G165" s="15">
        <f>IFERROR(G164/G161,0)</f>
        <v>1.67414975131066</v>
      </c>
      <c r="H165" s="69">
        <f>IFERROR(E165-G165,0)</f>
        <v>-1.673716128864422E-2</v>
      </c>
      <c r="I165" s="21"/>
      <c r="J165" s="22"/>
      <c r="K165" s="55">
        <f>IFERROR(K164/K161,0)</f>
        <v>1.6574125900220158</v>
      </c>
      <c r="L165" s="69">
        <f>IFERROR(E165-K165,0)</f>
        <v>0</v>
      </c>
      <c r="M165" s="73"/>
      <c r="N165" s="74"/>
    </row>
    <row r="166" spans="1:14" s="27" customFormat="1" ht="5.0999999999999996" customHeight="1" thickBot="1" x14ac:dyDescent="0.35">
      <c r="A166" s="5"/>
      <c r="B166" s="6"/>
      <c r="C166" s="7"/>
      <c r="D166" s="13"/>
      <c r="E166" s="14"/>
      <c r="F166" s="69"/>
      <c r="G166" s="13"/>
      <c r="H166" s="69"/>
      <c r="I166" s="21"/>
      <c r="J166" s="22"/>
      <c r="K166" s="54"/>
      <c r="L166" s="69"/>
      <c r="M166" s="73"/>
      <c r="N166" s="74"/>
    </row>
    <row r="167" spans="1:14" s="27" customFormat="1" ht="15" customHeight="1" thickBot="1" x14ac:dyDescent="0.35">
      <c r="A167" s="5"/>
      <c r="B167" s="6" t="s">
        <v>13</v>
      </c>
      <c r="C167" s="15">
        <f>IFERROR(C156/C161,0)</f>
        <v>99.26981984732825</v>
      </c>
      <c r="D167" s="15">
        <f>IFERROR(D156/D161,0)</f>
        <v>80.34370237695434</v>
      </c>
      <c r="E167" s="15">
        <f>IFERROR(E156/E161,0)</f>
        <v>80.34370237695434</v>
      </c>
      <c r="F167" s="69">
        <f>IFERROR(E167-C167,0)</f>
        <v>-18.92611747037391</v>
      </c>
      <c r="G167" s="15">
        <f>IFERROR(G156/G161,0)</f>
        <v>68.753531388627508</v>
      </c>
      <c r="H167" s="69">
        <f>IFERROR(E167-G167,0)</f>
        <v>11.590170988326832</v>
      </c>
      <c r="I167" s="21">
        <f>IFERROR(E167/C167-1,0)</f>
        <v>-0.19065328716704921</v>
      </c>
      <c r="J167" s="22">
        <f>IFERROR(E167/G167-1,0)</f>
        <v>0.16857564628664234</v>
      </c>
      <c r="K167" s="55">
        <f>IFERROR(K156/K161,0)</f>
        <v>80.34370237695434</v>
      </c>
      <c r="L167" s="69">
        <f>IFERROR(E167-K167,0)</f>
        <v>0</v>
      </c>
      <c r="M167" s="73"/>
      <c r="N167" s="74"/>
    </row>
    <row r="168" spans="1:14" s="38" customFormat="1" ht="15" customHeight="1" thickBot="1" x14ac:dyDescent="0.35">
      <c r="A168" s="9"/>
      <c r="B168" s="10" t="s">
        <v>14</v>
      </c>
      <c r="C168" s="16">
        <f>IFERROR(C156/C160,0)</f>
        <v>83.398617328288339</v>
      </c>
      <c r="D168" s="16">
        <f>IFERROR(D156/D160,0)</f>
        <v>69.041585326749157</v>
      </c>
      <c r="E168" s="16">
        <f>IFERROR(E156/E160,0)</f>
        <v>69.041585326749157</v>
      </c>
      <c r="F168" s="70">
        <f t="shared" ref="F168:F169" si="64">IFERROR(E168-C168,0)</f>
        <v>-14.357032001539181</v>
      </c>
      <c r="G168" s="16">
        <f>IFERROR(G156/G160,0)</f>
        <v>16.400228307573911</v>
      </c>
      <c r="H168" s="70">
        <f t="shared" ref="H168:H169" si="65">IFERROR(E168-G168,0)</f>
        <v>52.641357019175246</v>
      </c>
      <c r="I168" s="20">
        <f>IFERROR(E168/C168-1,0)</f>
        <v>-0.17214952071716616</v>
      </c>
      <c r="J168" s="11">
        <f>IFERROR(E168/G168-1,0)</f>
        <v>3.2097941584669618</v>
      </c>
      <c r="K168" s="56">
        <f>IFERROR(K156/K160,0)</f>
        <v>69.041585326749157</v>
      </c>
      <c r="L168" s="70">
        <f>IFERROR(E168-K168,0)</f>
        <v>0</v>
      </c>
      <c r="M168" s="73"/>
      <c r="N168" s="74"/>
    </row>
    <row r="169" spans="1:14" ht="15" customHeight="1" thickBot="1" x14ac:dyDescent="0.35">
      <c r="A169" s="17"/>
      <c r="B169" s="18" t="s">
        <v>34</v>
      </c>
      <c r="C169" s="19">
        <f>IFERROR(C155/C161,0)</f>
        <v>129.09690465158909</v>
      </c>
      <c r="D169" s="19">
        <f>IFERROR(D155/D161,0)</f>
        <v>111.11002425463636</v>
      </c>
      <c r="E169" s="19">
        <f>IFERROR(E155/E161,0)</f>
        <v>111.11002425463633</v>
      </c>
      <c r="F169" s="72">
        <f t="shared" si="64"/>
        <v>-17.986880396952756</v>
      </c>
      <c r="G169" s="19">
        <f>IFERROR(G155/G161,0)</f>
        <v>123.46435273558274</v>
      </c>
      <c r="H169" s="72">
        <f t="shared" si="65"/>
        <v>-12.354328480946407</v>
      </c>
      <c r="I169" s="25">
        <f>IFERROR(E169/C169-1,0)</f>
        <v>-0.13932851794933687</v>
      </c>
      <c r="J169" s="26">
        <f>IFERROR(E169/G169-1,0)</f>
        <v>-0.10006393106360856</v>
      </c>
      <c r="K169" s="57">
        <f>IFERROR(K155/K161,0)</f>
        <v>111.11002425463636</v>
      </c>
      <c r="L169" s="72">
        <f>IFERROR(E169-K169,0)</f>
        <v>-2.8421709430404007E-14</v>
      </c>
      <c r="M169" s="73"/>
      <c r="N169" s="74"/>
    </row>
    <row r="170" spans="1:14" s="27" customFormat="1" ht="15" customHeight="1" thickBot="1" x14ac:dyDescent="0.35">
      <c r="A170" s="1"/>
      <c r="B170" s="2" t="s">
        <v>19</v>
      </c>
      <c r="C170" s="3">
        <f>SUM(C171:C173)</f>
        <v>3258172.5921089877</v>
      </c>
      <c r="D170" s="3">
        <f>SUM(D171:D173)</f>
        <v>1986031.5104675961</v>
      </c>
      <c r="E170" s="4">
        <f>SUM('H+HotelBerlinMitte:H4HotelBerlinAlexand'!E170)</f>
        <v>2050374.8155795112</v>
      </c>
      <c r="F170" s="71">
        <f>IFERROR(SUM(F171:F173),0)</f>
        <v>-1207797.7765294763</v>
      </c>
      <c r="G170" s="3">
        <f>SUM(G171:G173)</f>
        <v>40996.550000000003</v>
      </c>
      <c r="H170" s="71">
        <f>IFERROR(E170-G170,0)</f>
        <v>2009378.2655795112</v>
      </c>
      <c r="I170" s="20">
        <f>IFERROR(E170/C170-1,0)</f>
        <v>-0.37069791190763135</v>
      </c>
      <c r="J170" s="11">
        <f>IFERROR(E170/G170-1,0)</f>
        <v>49.013350283853427</v>
      </c>
      <c r="K170" s="51">
        <f>SUM('H+HotelBerlinMitte:H4HotelBerlinAlexand'!K170)</f>
        <v>2246316.3949844427</v>
      </c>
      <c r="L170" s="71">
        <f>IFERROR(SUM(L171:L173),0)</f>
        <v>-195941.57940493178</v>
      </c>
      <c r="M170" s="73"/>
      <c r="N170" s="74"/>
    </row>
    <row r="171" spans="1:14" s="27" customFormat="1" ht="15" customHeight="1" thickBot="1" x14ac:dyDescent="0.35">
      <c r="A171" s="5"/>
      <c r="B171" s="6" t="s">
        <v>5</v>
      </c>
      <c r="C171" s="45">
        <f>SUM('H+HotelBerlinMitte:H4HotelBerlinAlexand'!C171)</f>
        <v>2397701.0925000003</v>
      </c>
      <c r="D171" s="45">
        <f>SUM('H+HotelBerlinMitte:H4HotelBerlinAlexand'!D171)</f>
        <v>1423383.7322040845</v>
      </c>
      <c r="E171" s="45">
        <f>SUM('H+HotelBerlinMitte:H4HotelBerlinAlexand'!E171)</f>
        <v>1412489.2237102804</v>
      </c>
      <c r="F171" s="67">
        <f>IFERROR(E171-C171,0)</f>
        <v>-985211.86878971988</v>
      </c>
      <c r="G171" s="45">
        <f>SUM('H+HotelBerlinMitte:H4HotelBerlinAlexand'!G171)</f>
        <v>-4886.6900000000005</v>
      </c>
      <c r="H171" s="67">
        <f t="shared" ref="H171:H173" si="66">IFERROR(E171-G171,0)</f>
        <v>1417375.9137102803</v>
      </c>
      <c r="I171" s="21">
        <f t="shared" ref="I171:I173" si="67">IFERROR(E171/C171-1,0)</f>
        <v>-0.41089853604832516</v>
      </c>
      <c r="J171" s="22">
        <f t="shared" ref="J171:J173" si="68">IFERROR(E171/G171-1,0)</f>
        <v>-290.04825632693712</v>
      </c>
      <c r="K171" s="52">
        <f>SUM('H+HotelBerlinMitte:H4HotelBerlinAlexand'!K171)</f>
        <v>1627653.358</v>
      </c>
      <c r="L171" s="67">
        <f>IFERROR(E171-K171,0)</f>
        <v>-215164.13428971963</v>
      </c>
      <c r="M171" s="73"/>
      <c r="N171" s="74"/>
    </row>
    <row r="172" spans="1:14" s="27" customFormat="1" ht="15" customHeight="1" thickBot="1" x14ac:dyDescent="0.35">
      <c r="A172" s="5"/>
      <c r="B172" s="6" t="s">
        <v>6</v>
      </c>
      <c r="C172" s="45">
        <f>SUM('H+HotelBerlinMitte:H4HotelBerlinAlexand'!C172)</f>
        <v>560031.52704596217</v>
      </c>
      <c r="D172" s="45">
        <f>SUM('H+HotelBerlinMitte:H4HotelBerlinAlexand'!D172)</f>
        <v>343451.14628832857</v>
      </c>
      <c r="E172" s="45">
        <f>SUM('H+HotelBerlinMitte:H4HotelBerlinAlexand'!E172)</f>
        <v>362367.44686923077</v>
      </c>
      <c r="F172" s="67">
        <f t="shared" ref="F172:F173" si="69">IFERROR(E172-C172,0)</f>
        <v>-197664.0801767314</v>
      </c>
      <c r="G172" s="45">
        <f>SUM('H+HotelBerlinMitte:H4HotelBerlinAlexand'!G172)</f>
        <v>-286.64999999999998</v>
      </c>
      <c r="H172" s="67">
        <f t="shared" si="66"/>
        <v>362654.09686923079</v>
      </c>
      <c r="I172" s="21">
        <f t="shared" si="67"/>
        <v>-0.35295170116468988</v>
      </c>
      <c r="J172" s="22">
        <f t="shared" si="68"/>
        <v>-1265.1459859383597</v>
      </c>
      <c r="K172" s="52">
        <f>SUM('H+HotelBerlinMitte:H4HotelBerlinAlexand'!K172)</f>
        <v>414813.15958948497</v>
      </c>
      <c r="L172" s="67">
        <f>IFERROR(E172-K172,0)</f>
        <v>-52445.712720254203</v>
      </c>
      <c r="M172" s="73"/>
      <c r="N172" s="74"/>
    </row>
    <row r="173" spans="1:14" s="27" customFormat="1" ht="15" customHeight="1" thickBot="1" x14ac:dyDescent="0.35">
      <c r="A173" s="5"/>
      <c r="B173" s="6" t="s">
        <v>7</v>
      </c>
      <c r="C173" s="45">
        <f>SUM('H+HotelBerlinMitte:H4HotelBerlinAlexand'!C173)</f>
        <v>300439.97256302508</v>
      </c>
      <c r="D173" s="45">
        <f>SUM('H+HotelBerlinMitte:H4HotelBerlinAlexand'!D173)</f>
        <v>219196.63197518309</v>
      </c>
      <c r="E173" s="45">
        <f>SUM('H+HotelBerlinMitte:H4HotelBerlinAlexand'!E173)</f>
        <v>275518.14500000002</v>
      </c>
      <c r="F173" s="67">
        <f t="shared" si="69"/>
        <v>-24921.827563025057</v>
      </c>
      <c r="G173" s="45">
        <f>SUM('H+HotelBerlinMitte:H4HotelBerlinAlexand'!G173)</f>
        <v>46169.89</v>
      </c>
      <c r="H173" s="67">
        <f t="shared" si="66"/>
        <v>229348.255</v>
      </c>
      <c r="I173" s="21">
        <f t="shared" si="67"/>
        <v>-8.2951104509893625E-2</v>
      </c>
      <c r="J173" s="22">
        <f t="shared" si="68"/>
        <v>4.9674854109463986</v>
      </c>
      <c r="K173" s="52">
        <f>SUM('H+HotelBerlinMitte:H4HotelBerlinAlexand'!K173)</f>
        <v>203849.87739495796</v>
      </c>
      <c r="L173" s="67">
        <f>IFERROR(E173-K173,0)</f>
        <v>71668.267605042056</v>
      </c>
      <c r="M173" s="73"/>
      <c r="N173" s="74"/>
    </row>
    <row r="174" spans="1:14" s="27" customFormat="1" ht="5.0999999999999996" customHeight="1" thickBot="1" x14ac:dyDescent="0.35">
      <c r="A174" s="5"/>
      <c r="B174" s="6"/>
      <c r="C174" s="7"/>
      <c r="D174" s="7"/>
      <c r="E174" s="8"/>
      <c r="F174" s="67"/>
      <c r="G174" s="7"/>
      <c r="H174" s="67"/>
      <c r="I174" s="21"/>
      <c r="J174" s="21"/>
      <c r="K174" s="53"/>
      <c r="L174" s="67"/>
      <c r="M174" s="73"/>
      <c r="N174" s="74"/>
    </row>
    <row r="175" spans="1:14" s="27" customFormat="1" ht="15" customHeight="1" thickBot="1" x14ac:dyDescent="0.35">
      <c r="A175" s="5"/>
      <c r="B175" s="6" t="s">
        <v>8</v>
      </c>
      <c r="C175" s="45">
        <f>SUM('H+HotelBerlinMitte:H4HotelBerlinAlexand'!C175)</f>
        <v>30180</v>
      </c>
      <c r="D175" s="45">
        <f>SUM('H+HotelBerlinMitte:H4HotelBerlinAlexand'!D175)</f>
        <v>30180</v>
      </c>
      <c r="E175" s="46">
        <f>SUM('H+HotelBerlinMitte:H4HotelBerlinAlexand'!E175)</f>
        <v>30180</v>
      </c>
      <c r="F175" s="67">
        <f>IFERROR(E175-C175,0)</f>
        <v>0</v>
      </c>
      <c r="G175" s="45">
        <f>SUM('H+HotelBerlinMitte:H4HotelBerlinAlexand'!G175)</f>
        <v>30180</v>
      </c>
      <c r="H175" s="67">
        <f>IFERROR(E175-G175,0)</f>
        <v>0</v>
      </c>
      <c r="I175" s="23"/>
      <c r="J175" s="24"/>
      <c r="K175" s="52">
        <f>SUM('H+HotelBerlinMitte:H4HotelBerlinAlexand'!K175)</f>
        <v>30180</v>
      </c>
      <c r="L175" s="67">
        <f>IFERROR(E175-K175,0)</f>
        <v>0</v>
      </c>
      <c r="M175" s="73"/>
      <c r="N175" s="74"/>
    </row>
    <row r="176" spans="1:14" s="27" customFormat="1" ht="15" customHeight="1" thickBot="1" x14ac:dyDescent="0.35">
      <c r="A176" s="5"/>
      <c r="B176" s="6" t="s">
        <v>9</v>
      </c>
      <c r="C176" s="45">
        <f>SUM('H+HotelBerlinMitte:H4HotelBerlinAlexand'!C176)</f>
        <v>25275</v>
      </c>
      <c r="D176" s="45">
        <f>SUM('H+HotelBerlinMitte:H4HotelBerlinAlexand'!D176)</f>
        <v>17018</v>
      </c>
      <c r="E176" s="46">
        <f>SUM('H+HotelBerlinMitte:H4HotelBerlinAlexand'!E176)</f>
        <v>16950</v>
      </c>
      <c r="F176" s="67">
        <f>IFERROR(E176-C176,0)</f>
        <v>-8325</v>
      </c>
      <c r="G176" s="45">
        <f>SUM('H+HotelBerlinMitte:H4HotelBerlinAlexand'!G176)</f>
        <v>0</v>
      </c>
      <c r="H176" s="67">
        <f>IFERROR(E176-G176,0)</f>
        <v>16950</v>
      </c>
      <c r="I176" s="23"/>
      <c r="J176" s="24"/>
      <c r="K176" s="52">
        <f>SUM('H+HotelBerlinMitte:H4HotelBerlinAlexand'!K176)</f>
        <v>19075</v>
      </c>
      <c r="L176" s="67">
        <f>IFERROR(E176-K176,0)</f>
        <v>-2125</v>
      </c>
      <c r="M176" s="73"/>
      <c r="N176" s="74"/>
    </row>
    <row r="177" spans="1:14" s="38" customFormat="1" ht="15" customHeight="1" thickBot="1" x14ac:dyDescent="0.35">
      <c r="A177" s="9"/>
      <c r="B177" s="10" t="s">
        <v>10</v>
      </c>
      <c r="C177" s="11">
        <f>IFERROR(C176/C175,0)</f>
        <v>0.8374751491053678</v>
      </c>
      <c r="D177" s="11">
        <f>IFERROR(D176/D175,0)</f>
        <v>0.56388336646785953</v>
      </c>
      <c r="E177" s="11">
        <f>IFERROR(E176/E175,0)</f>
        <v>0.56163021868787277</v>
      </c>
      <c r="F177" s="68">
        <f>IFERROR(E177-C177,0)</f>
        <v>-0.27584493041749503</v>
      </c>
      <c r="G177" s="11">
        <f>IFERROR(G176/G175,0)</f>
        <v>0</v>
      </c>
      <c r="H177" s="68">
        <f>IFERROR(E177-G177,0)</f>
        <v>0.56163021868787277</v>
      </c>
      <c r="I177" s="20">
        <f>IFERROR(E177/C177-1,0)</f>
        <v>-0.32937685459940658</v>
      </c>
      <c r="J177" s="11">
        <f>IFERROR(E177/G177-1,0)</f>
        <v>0</v>
      </c>
      <c r="K177" s="12">
        <f>IFERROR(K176/K175,0)</f>
        <v>0.63204108681245863</v>
      </c>
      <c r="L177" s="68">
        <f>IFERROR(E177-K177,0)</f>
        <v>-7.0410868124585857E-2</v>
      </c>
      <c r="M177" s="73"/>
      <c r="N177" s="74"/>
    </row>
    <row r="178" spans="1:14" s="27" customFormat="1" ht="5.0999999999999996" customHeight="1" thickBot="1" x14ac:dyDescent="0.35">
      <c r="A178" s="5"/>
      <c r="B178" s="6"/>
      <c r="C178" s="7"/>
      <c r="D178" s="13"/>
      <c r="E178" s="14"/>
      <c r="F178" s="67"/>
      <c r="G178" s="13"/>
      <c r="H178" s="67"/>
      <c r="I178" s="21"/>
      <c r="J178" s="22"/>
      <c r="K178" s="54"/>
      <c r="L178" s="67"/>
      <c r="M178" s="73"/>
      <c r="N178" s="74"/>
    </row>
    <row r="179" spans="1:14" s="27" customFormat="1" ht="15" customHeight="1" thickBot="1" x14ac:dyDescent="0.35">
      <c r="A179" s="5"/>
      <c r="B179" s="6" t="s">
        <v>11</v>
      </c>
      <c r="C179" s="45">
        <f>SUM('H+HotelBerlinMitte:H4HotelBerlinAlexand'!C179)</f>
        <v>38782.75</v>
      </c>
      <c r="D179" s="45">
        <f>SUM('H+HotelBerlinMitte:H4HotelBerlinAlexand'!D179)</f>
        <v>27775</v>
      </c>
      <c r="E179" s="46">
        <f>SUM('H+HotelBerlinMitte:H4HotelBerlinAlexand'!E179)</f>
        <v>26967.723846153844</v>
      </c>
      <c r="F179" s="67">
        <f>IFERROR(E179-C179,0)</f>
        <v>-11815.026153846156</v>
      </c>
      <c r="G179" s="45">
        <f>SUM('H+HotelBerlinMitte:H4HotelBerlinAlexand'!G179)</f>
        <v>0</v>
      </c>
      <c r="H179" s="67">
        <f>IFERROR(E179-G179,0)</f>
        <v>26967.723846153844</v>
      </c>
      <c r="I179" s="21"/>
      <c r="J179" s="22"/>
      <c r="K179" s="52">
        <f>SUM('H+HotelBerlinMitte:H4HotelBerlinAlexand'!K179)</f>
        <v>29850.92</v>
      </c>
      <c r="L179" s="67">
        <f>IFERROR(E179-K179,0)</f>
        <v>-2883.1961538461546</v>
      </c>
      <c r="M179" s="73"/>
      <c r="N179" s="74"/>
    </row>
    <row r="180" spans="1:14" s="27" customFormat="1" ht="15" customHeight="1" thickBot="1" x14ac:dyDescent="0.35">
      <c r="A180" s="5"/>
      <c r="B180" s="6" t="s">
        <v>12</v>
      </c>
      <c r="C180" s="15">
        <f>IFERROR(C179/C176,0)</f>
        <v>1.5344312561819979</v>
      </c>
      <c r="D180" s="15">
        <f>IFERROR(D179/D176,0)</f>
        <v>1.6320954283699611</v>
      </c>
      <c r="E180" s="15">
        <f>IFERROR(E179/E176,0)</f>
        <v>1.5910161561152709</v>
      </c>
      <c r="F180" s="69">
        <f>IFERROR(E180-C180,0)</f>
        <v>5.6584899933272981E-2</v>
      </c>
      <c r="G180" s="15">
        <f>IFERROR(G179/G176,0)</f>
        <v>0</v>
      </c>
      <c r="H180" s="69">
        <f>IFERROR(E180-G180,0)</f>
        <v>1.5910161561152709</v>
      </c>
      <c r="I180" s="21"/>
      <c r="J180" s="22"/>
      <c r="K180" s="55">
        <f>IFERROR(K179/K176,0)</f>
        <v>1.5649237221494101</v>
      </c>
      <c r="L180" s="69">
        <f>IFERROR(E180-K180,0)</f>
        <v>2.6092433965860806E-2</v>
      </c>
      <c r="M180" s="73"/>
      <c r="N180" s="74"/>
    </row>
    <row r="181" spans="1:14" s="27" customFormat="1" ht="5.0999999999999996" customHeight="1" thickBot="1" x14ac:dyDescent="0.35">
      <c r="A181" s="5"/>
      <c r="B181" s="6"/>
      <c r="C181" s="7"/>
      <c r="D181" s="13"/>
      <c r="E181" s="14"/>
      <c r="F181" s="69"/>
      <c r="G181" s="13"/>
      <c r="H181" s="69"/>
      <c r="I181" s="21"/>
      <c r="J181" s="22"/>
      <c r="K181" s="54"/>
      <c r="L181" s="69"/>
      <c r="M181" s="73"/>
      <c r="N181" s="74"/>
    </row>
    <row r="182" spans="1:14" s="27" customFormat="1" ht="15" customHeight="1" thickBot="1" x14ac:dyDescent="0.35">
      <c r="A182" s="5"/>
      <c r="B182" s="6" t="s">
        <v>13</v>
      </c>
      <c r="C182" s="15">
        <f>IFERROR(C171/C176,0)</f>
        <v>94.864533827893183</v>
      </c>
      <c r="D182" s="15">
        <f>IFERROR(D171/D176,0)</f>
        <v>83.639894946767214</v>
      </c>
      <c r="E182" s="15">
        <f>IFERROR(E171/E176,0)</f>
        <v>83.332697564028337</v>
      </c>
      <c r="F182" s="69">
        <f>IFERROR(E182-C182,0)</f>
        <v>-11.531836263864847</v>
      </c>
      <c r="G182" s="15">
        <f>IFERROR(G171/G176,0)</f>
        <v>0</v>
      </c>
      <c r="H182" s="69">
        <f>IFERROR(E182-G182,0)</f>
        <v>83.332697564028337</v>
      </c>
      <c r="I182" s="21">
        <f>IFERROR(E182/C182-1,0)</f>
        <v>-0.12156109136409543</v>
      </c>
      <c r="J182" s="22">
        <f>IFERROR(E182/G182-1,0)</f>
        <v>0</v>
      </c>
      <c r="K182" s="55">
        <f>IFERROR(K171/K176,0)</f>
        <v>85.329140655307995</v>
      </c>
      <c r="L182" s="69">
        <f>IFERROR(E182-K182,0)</f>
        <v>-1.9964430912796587</v>
      </c>
      <c r="M182" s="73"/>
      <c r="N182" s="74"/>
    </row>
    <row r="183" spans="1:14" s="38" customFormat="1" ht="15" customHeight="1" thickBot="1" x14ac:dyDescent="0.35">
      <c r="A183" s="9"/>
      <c r="B183" s="10" t="s">
        <v>14</v>
      </c>
      <c r="C183" s="16">
        <f>IFERROR(C171/C175,0)</f>
        <v>79.446689612326054</v>
      </c>
      <c r="D183" s="16">
        <f>IFERROR(D171/D175,0)</f>
        <v>47.16314553360121</v>
      </c>
      <c r="E183" s="16">
        <f>IFERROR(E171/E175,0)</f>
        <v>46.8021611567356</v>
      </c>
      <c r="F183" s="70">
        <f t="shared" ref="F183:F184" si="70">IFERROR(E183-C183,0)</f>
        <v>-32.644528455590454</v>
      </c>
      <c r="G183" s="16">
        <f>IFERROR(G171/G175,0)</f>
        <v>-0.16191815772034462</v>
      </c>
      <c r="H183" s="70">
        <f t="shared" ref="H183:H184" si="71">IFERROR(E183-G183,0)</f>
        <v>46.964079314455944</v>
      </c>
      <c r="I183" s="20">
        <f>IFERROR(E183/C183-1,0)</f>
        <v>-0.41089853604832516</v>
      </c>
      <c r="J183" s="11">
        <f>IFERROR(E183/G183-1,0)</f>
        <v>-290.04825632693706</v>
      </c>
      <c r="K183" s="56">
        <f>IFERROR(K171/K175,0)</f>
        <v>53.931522796554006</v>
      </c>
      <c r="L183" s="70">
        <f>IFERROR(E183-K183,0)</f>
        <v>-7.1293616398184056</v>
      </c>
      <c r="M183" s="73"/>
      <c r="N183" s="74"/>
    </row>
    <row r="184" spans="1:14" ht="15" customHeight="1" thickBot="1" x14ac:dyDescent="0.35">
      <c r="A184" s="17"/>
      <c r="B184" s="18" t="s">
        <v>34</v>
      </c>
      <c r="C184" s="19">
        <f>IFERROR(C170/C176,0)</f>
        <v>128.90890572142385</v>
      </c>
      <c r="D184" s="19">
        <f>IFERROR(D170/D176,0)</f>
        <v>116.70181633961664</v>
      </c>
      <c r="E184" s="19">
        <f>IFERROR(E170/E176,0)</f>
        <v>120.96606581590036</v>
      </c>
      <c r="F184" s="72">
        <f t="shared" si="70"/>
        <v>-7.9428399055234848</v>
      </c>
      <c r="G184" s="19">
        <f>IFERROR(G170/G176,0)</f>
        <v>0</v>
      </c>
      <c r="H184" s="72">
        <f t="shared" si="71"/>
        <v>120.96606581590036</v>
      </c>
      <c r="I184" s="25">
        <f>IFERROR(E184/C184-1,0)</f>
        <v>-6.1615912888813185E-2</v>
      </c>
      <c r="J184" s="26">
        <f>IFERROR(E184/G184-1,0)</f>
        <v>0</v>
      </c>
      <c r="K184" s="57">
        <f>IFERROR(K170/K176,0)</f>
        <v>117.76232739105859</v>
      </c>
      <c r="L184" s="72">
        <f>IFERROR(E184-K184,0)</f>
        <v>3.2037384248417737</v>
      </c>
      <c r="M184" s="73"/>
      <c r="N184" s="74"/>
    </row>
    <row r="185" spans="1:14" s="27" customFormat="1" ht="15" customHeight="1" thickBot="1" x14ac:dyDescent="0.35">
      <c r="A185" s="1"/>
      <c r="B185" s="2" t="s">
        <v>20</v>
      </c>
      <c r="C185" s="3">
        <f>SUM(C186:C188)</f>
        <v>2776348.5817449722</v>
      </c>
      <c r="D185" s="3">
        <f>SUM(D186:D188)</f>
        <v>1072339.6693316572</v>
      </c>
      <c r="E185" s="4">
        <f>SUM('H+HotelBerlinMitte:H4HotelBerlinAlexand'!E185)</f>
        <v>783060.32277626521</v>
      </c>
      <c r="F185" s="71">
        <f>IFERROR(SUM(F186:F188),0)</f>
        <v>-1993288.2589687069</v>
      </c>
      <c r="G185" s="3">
        <f>SUM(G186:G188)</f>
        <v>46145.97</v>
      </c>
      <c r="H185" s="71">
        <f>IFERROR(E185-G185,0)</f>
        <v>736914.35277626524</v>
      </c>
      <c r="I185" s="20">
        <f>IFERROR(E185/C185-1,0)</f>
        <v>-0.71795316772359286</v>
      </c>
      <c r="J185" s="11">
        <f>IFERROR(E185/G185-1,0)</f>
        <v>15.969202787941509</v>
      </c>
      <c r="K185" s="51">
        <f>SUM('H+HotelBerlinMitte:H4HotelBerlinAlexand'!K185)</f>
        <v>2213137.7350560874</v>
      </c>
      <c r="L185" s="71">
        <f>IFERROR(SUM(L186:L188),0)</f>
        <v>-1430077.4122798219</v>
      </c>
      <c r="M185" s="73"/>
      <c r="N185" s="74"/>
    </row>
    <row r="186" spans="1:14" s="27" customFormat="1" ht="15" customHeight="1" thickBot="1" x14ac:dyDescent="0.35">
      <c r="A186" s="5"/>
      <c r="B186" s="6" t="s">
        <v>5</v>
      </c>
      <c r="C186" s="45">
        <f>SUM('H+HotelBerlinMitte:H4HotelBerlinAlexand'!C186)</f>
        <v>2214124.9900000002</v>
      </c>
      <c r="D186" s="45">
        <f>SUM('H+HotelBerlinMitte:H4HotelBerlinAlexand'!D186)</f>
        <v>962231.13991989242</v>
      </c>
      <c r="E186" s="45">
        <f>SUM('H+HotelBerlinMitte:H4HotelBerlinAlexand'!E186)</f>
        <v>600356.97</v>
      </c>
      <c r="F186" s="67">
        <f>IFERROR(E186-C186,0)</f>
        <v>-1613768.0200000003</v>
      </c>
      <c r="G186" s="45">
        <f>SUM('H+HotelBerlinMitte:H4HotelBerlinAlexand'!G186)</f>
        <v>-4026.21</v>
      </c>
      <c r="H186" s="67">
        <f t="shared" ref="H186:H188" si="72">IFERROR(E186-G186,0)</f>
        <v>604383.17999999993</v>
      </c>
      <c r="I186" s="21">
        <f t="shared" ref="I186:I188" si="73">IFERROR(E186/C186-1,0)</f>
        <v>-0.72885136443900578</v>
      </c>
      <c r="J186" s="22">
        <f t="shared" ref="J186:J188" si="74">IFERROR(E186/G186-1,0)</f>
        <v>-150.11218490838777</v>
      </c>
      <c r="K186" s="52">
        <f>SUM('H+HotelBerlinMitte:H4HotelBerlinAlexand'!K186)</f>
        <v>1649811.5050000001</v>
      </c>
      <c r="L186" s="67">
        <f>IFERROR(E186-K186,0)</f>
        <v>-1049454.5350000001</v>
      </c>
      <c r="M186" s="73"/>
      <c r="N186" s="74"/>
    </row>
    <row r="187" spans="1:14" s="27" customFormat="1" ht="15" customHeight="1" thickBot="1" x14ac:dyDescent="0.35">
      <c r="A187" s="5"/>
      <c r="B187" s="6" t="s">
        <v>6</v>
      </c>
      <c r="C187" s="45">
        <f>SUM('H+HotelBerlinMitte:H4HotelBerlinAlexand'!C187)</f>
        <v>408157.0568290056</v>
      </c>
      <c r="D187" s="45">
        <f>SUM('H+HotelBerlinMitte:H4HotelBerlinAlexand'!D187)</f>
        <v>55868.487394957992</v>
      </c>
      <c r="E187" s="45">
        <f>SUM('H+HotelBerlinMitte:H4HotelBerlinAlexand'!E187)</f>
        <v>114634.83421565923</v>
      </c>
      <c r="F187" s="67">
        <f t="shared" ref="F187:F188" si="75">IFERROR(E187-C187,0)</f>
        <v>-293522.22261334636</v>
      </c>
      <c r="G187" s="45">
        <f>SUM('H+HotelBerlinMitte:H4HotelBerlinAlexand'!G187)</f>
        <v>-635.18000000000018</v>
      </c>
      <c r="H187" s="67">
        <f t="shared" si="72"/>
        <v>115270.01421565922</v>
      </c>
      <c r="I187" s="21">
        <f t="shared" si="73"/>
        <v>-0.71914038408091363</v>
      </c>
      <c r="J187" s="22">
        <f t="shared" si="74"/>
        <v>-181.47613938672376</v>
      </c>
      <c r="K187" s="52">
        <f>SUM('H+HotelBerlinMitte:H4HotelBerlinAlexand'!K187)</f>
        <v>416200.37133950961</v>
      </c>
      <c r="L187" s="67">
        <f>IFERROR(E187-K187,0)</f>
        <v>-301565.53712385037</v>
      </c>
      <c r="M187" s="73"/>
      <c r="N187" s="74"/>
    </row>
    <row r="188" spans="1:14" s="27" customFormat="1" ht="15" customHeight="1" thickBot="1" x14ac:dyDescent="0.35">
      <c r="A188" s="5"/>
      <c r="B188" s="6" t="s">
        <v>7</v>
      </c>
      <c r="C188" s="45">
        <f>SUM('H+HotelBerlinMitte:H4HotelBerlinAlexand'!C188)</f>
        <v>154066.53491596645</v>
      </c>
      <c r="D188" s="45">
        <f>SUM('H+HotelBerlinMitte:H4HotelBerlinAlexand'!D188)</f>
        <v>54240.042016806728</v>
      </c>
      <c r="E188" s="45">
        <f>SUM('H+HotelBerlinMitte:H4HotelBerlinAlexand'!E188)</f>
        <v>68068.518560606084</v>
      </c>
      <c r="F188" s="67">
        <f t="shared" si="75"/>
        <v>-85998.016355360363</v>
      </c>
      <c r="G188" s="45">
        <f>SUM('H+HotelBerlinMitte:H4HotelBerlinAlexand'!G188)</f>
        <v>50807.360000000001</v>
      </c>
      <c r="H188" s="67">
        <f t="shared" si="72"/>
        <v>17261.158560606083</v>
      </c>
      <c r="I188" s="21">
        <f t="shared" si="73"/>
        <v>-0.55818751555791679</v>
      </c>
      <c r="J188" s="22">
        <f t="shared" si="74"/>
        <v>0.33973736404737598</v>
      </c>
      <c r="K188" s="52">
        <f>SUM('H+HotelBerlinMitte:H4HotelBerlinAlexand'!K188)</f>
        <v>147125.85871657755</v>
      </c>
      <c r="L188" s="67">
        <f>IFERROR(E188-K188,0)</f>
        <v>-79057.340155971469</v>
      </c>
      <c r="M188" s="73"/>
      <c r="N188" s="74"/>
    </row>
    <row r="189" spans="1:14" s="27" customFormat="1" ht="5.0999999999999996" customHeight="1" thickBot="1" x14ac:dyDescent="0.35">
      <c r="A189" s="5"/>
      <c r="B189" s="6"/>
      <c r="C189" s="7"/>
      <c r="D189" s="7"/>
      <c r="E189" s="8"/>
      <c r="F189" s="67"/>
      <c r="G189" s="7"/>
      <c r="H189" s="67"/>
      <c r="I189" s="21"/>
      <c r="J189" s="21"/>
      <c r="K189" s="53"/>
      <c r="L189" s="67"/>
      <c r="M189" s="73"/>
      <c r="N189" s="74"/>
    </row>
    <row r="190" spans="1:14" s="27" customFormat="1" ht="15" customHeight="1" thickBot="1" x14ac:dyDescent="0.35">
      <c r="A190" s="5"/>
      <c r="B190" s="6" t="s">
        <v>8</v>
      </c>
      <c r="C190" s="45">
        <f>SUM('H+HotelBerlinMitte:H4HotelBerlinAlexand'!C190)</f>
        <v>31186</v>
      </c>
      <c r="D190" s="45">
        <f>SUM('H+HotelBerlinMitte:H4HotelBerlinAlexand'!D190)</f>
        <v>31186</v>
      </c>
      <c r="E190" s="46">
        <f>SUM('H+HotelBerlinMitte:H4HotelBerlinAlexand'!E190)</f>
        <v>31186</v>
      </c>
      <c r="F190" s="67">
        <f>IFERROR(E190-C190,0)</f>
        <v>0</v>
      </c>
      <c r="G190" s="45">
        <f>SUM('H+HotelBerlinMitte:H4HotelBerlinAlexand'!G190)</f>
        <v>31186</v>
      </c>
      <c r="H190" s="67">
        <f>IFERROR(E190-G190,0)</f>
        <v>0</v>
      </c>
      <c r="I190" s="23"/>
      <c r="J190" s="24"/>
      <c r="K190" s="52">
        <f>SUM('H+HotelBerlinMitte:H4HotelBerlinAlexand'!K190)</f>
        <v>31186</v>
      </c>
      <c r="L190" s="67">
        <f>IFERROR(E190-K190,0)</f>
        <v>0</v>
      </c>
      <c r="M190" s="73"/>
      <c r="N190" s="74"/>
    </row>
    <row r="191" spans="1:14" s="27" customFormat="1" ht="15" customHeight="1" thickBot="1" x14ac:dyDescent="0.35">
      <c r="A191" s="5"/>
      <c r="B191" s="6" t="s">
        <v>9</v>
      </c>
      <c r="C191" s="45">
        <f>SUM('H+HotelBerlinMitte:H4HotelBerlinAlexand'!C191)</f>
        <v>24150</v>
      </c>
      <c r="D191" s="45">
        <f>SUM('H+HotelBerlinMitte:H4HotelBerlinAlexand'!D191)</f>
        <v>11083</v>
      </c>
      <c r="E191" s="46">
        <f>SUM('H+HotelBerlinMitte:H4HotelBerlinAlexand'!E191)</f>
        <v>6625</v>
      </c>
      <c r="F191" s="67">
        <f>IFERROR(E191-C191,0)</f>
        <v>-17525</v>
      </c>
      <c r="G191" s="45">
        <f>SUM('H+HotelBerlinMitte:H4HotelBerlinAlexand'!G191)</f>
        <v>0</v>
      </c>
      <c r="H191" s="67">
        <f>IFERROR(E191-G191,0)</f>
        <v>6625</v>
      </c>
      <c r="I191" s="23"/>
      <c r="J191" s="24"/>
      <c r="K191" s="52">
        <f>SUM('H+HotelBerlinMitte:H4HotelBerlinAlexand'!K191)</f>
        <v>19300</v>
      </c>
      <c r="L191" s="67">
        <f>IFERROR(E191-K191,0)</f>
        <v>-12675</v>
      </c>
      <c r="M191" s="73"/>
      <c r="N191" s="74"/>
    </row>
    <row r="192" spans="1:14" s="38" customFormat="1" ht="15" customHeight="1" thickBot="1" x14ac:dyDescent="0.35">
      <c r="A192" s="9"/>
      <c r="B192" s="10" t="s">
        <v>10</v>
      </c>
      <c r="C192" s="11">
        <f>IFERROR(C191/C190,0)</f>
        <v>0.77438594241005576</v>
      </c>
      <c r="D192" s="11">
        <f>IFERROR(D191/D190,0)</f>
        <v>0.35538382607580327</v>
      </c>
      <c r="E192" s="11">
        <f>IFERROR(E191/E190,0)</f>
        <v>0.21243506701725134</v>
      </c>
      <c r="F192" s="68">
        <f>IFERROR(E192-C192,0)</f>
        <v>-0.56195087539280442</v>
      </c>
      <c r="G192" s="11">
        <f>IFERROR(G191/G190,0)</f>
        <v>0</v>
      </c>
      <c r="H192" s="68">
        <f>IFERROR(E192-G192,0)</f>
        <v>0.21243506701725134</v>
      </c>
      <c r="I192" s="20">
        <f>IFERROR(E192/C192-1,0)</f>
        <v>-0.72567287784679091</v>
      </c>
      <c r="J192" s="11">
        <f>IFERROR(E192/G192-1,0)</f>
        <v>0</v>
      </c>
      <c r="K192" s="12">
        <f>IFERROR(K191/K190,0)</f>
        <v>0.61886744051818121</v>
      </c>
      <c r="L192" s="68">
        <f>IFERROR(E192-K192,0)</f>
        <v>-0.40643237350092987</v>
      </c>
      <c r="M192" s="73"/>
      <c r="N192" s="74"/>
    </row>
    <row r="193" spans="1:14" s="27" customFormat="1" ht="5.0999999999999996" customHeight="1" thickBot="1" x14ac:dyDescent="0.35">
      <c r="A193" s="5"/>
      <c r="B193" s="6"/>
      <c r="C193" s="7"/>
      <c r="D193" s="13"/>
      <c r="E193" s="14"/>
      <c r="F193" s="67"/>
      <c r="G193" s="13"/>
      <c r="H193" s="67"/>
      <c r="I193" s="21"/>
      <c r="J193" s="22"/>
      <c r="K193" s="54"/>
      <c r="L193" s="67"/>
      <c r="M193" s="73"/>
      <c r="N193" s="74"/>
    </row>
    <row r="194" spans="1:14" s="27" customFormat="1" ht="15" customHeight="1" thickBot="1" x14ac:dyDescent="0.35">
      <c r="A194" s="5"/>
      <c r="B194" s="6" t="s">
        <v>11</v>
      </c>
      <c r="C194" s="45">
        <f>SUM('H+HotelBerlinMitte:H4HotelBerlinAlexand'!C194)</f>
        <v>43832</v>
      </c>
      <c r="D194" s="45">
        <f>SUM('H+HotelBerlinMitte:H4HotelBerlinAlexand'!D194)</f>
        <v>20660</v>
      </c>
      <c r="E194" s="46">
        <f>SUM('H+HotelBerlinMitte:H4HotelBerlinAlexand'!E194)</f>
        <v>12024.35</v>
      </c>
      <c r="F194" s="67">
        <f>IFERROR(E194-C194,0)</f>
        <v>-31807.65</v>
      </c>
      <c r="G194" s="45">
        <f>SUM('H+HotelBerlinMitte:H4HotelBerlinAlexand'!G194)</f>
        <v>0</v>
      </c>
      <c r="H194" s="67">
        <f>IFERROR(E194-G194,0)</f>
        <v>12024.35</v>
      </c>
      <c r="I194" s="21"/>
      <c r="J194" s="22"/>
      <c r="K194" s="52">
        <f>SUM('H+HotelBerlinMitte:H4HotelBerlinAlexand'!K194)</f>
        <v>35716.910000000003</v>
      </c>
      <c r="L194" s="67">
        <f>IFERROR(E194-K194,0)</f>
        <v>-23692.560000000005</v>
      </c>
      <c r="M194" s="73"/>
      <c r="N194" s="74"/>
    </row>
    <row r="195" spans="1:14" s="27" customFormat="1" ht="15" customHeight="1" thickBot="1" x14ac:dyDescent="0.35">
      <c r="A195" s="5"/>
      <c r="B195" s="6" t="s">
        <v>12</v>
      </c>
      <c r="C195" s="15">
        <f>IFERROR(C194/C191,0)</f>
        <v>1.8149896480331262</v>
      </c>
      <c r="D195" s="15">
        <f>IFERROR(D194/D191,0)</f>
        <v>1.8641162140214744</v>
      </c>
      <c r="E195" s="15">
        <f>IFERROR(E194/E191,0)</f>
        <v>1.8149962264150945</v>
      </c>
      <c r="F195" s="69">
        <f>IFERROR(E195-C195,0)</f>
        <v>6.5783819682696532E-6</v>
      </c>
      <c r="G195" s="15">
        <f>IFERROR(G194/G191,0)</f>
        <v>0</v>
      </c>
      <c r="H195" s="69">
        <f>IFERROR(E195-G195,0)</f>
        <v>1.8149962264150945</v>
      </c>
      <c r="I195" s="21"/>
      <c r="J195" s="22"/>
      <c r="K195" s="55">
        <f>IFERROR(K194/K191,0)</f>
        <v>1.8506170984455961</v>
      </c>
      <c r="L195" s="69">
        <f>IFERROR(E195-K195,0)</f>
        <v>-3.5620872030501571E-2</v>
      </c>
      <c r="M195" s="73"/>
      <c r="N195" s="74"/>
    </row>
    <row r="196" spans="1:14" s="27" customFormat="1" ht="5.0999999999999996" customHeight="1" thickBot="1" x14ac:dyDescent="0.35">
      <c r="A196" s="5"/>
      <c r="B196" s="6"/>
      <c r="C196" s="7"/>
      <c r="D196" s="13"/>
      <c r="E196" s="14"/>
      <c r="F196" s="69"/>
      <c r="G196" s="13"/>
      <c r="H196" s="69"/>
      <c r="I196" s="21"/>
      <c r="J196" s="22"/>
      <c r="K196" s="54"/>
      <c r="L196" s="69"/>
      <c r="M196" s="73"/>
      <c r="N196" s="74"/>
    </row>
    <row r="197" spans="1:14" s="27" customFormat="1" ht="15" customHeight="1" thickBot="1" x14ac:dyDescent="0.35">
      <c r="A197" s="5"/>
      <c r="B197" s="6" t="s">
        <v>13</v>
      </c>
      <c r="C197" s="15">
        <f>IFERROR(C186/C191,0)</f>
        <v>91.682194202898557</v>
      </c>
      <c r="D197" s="15">
        <f>IFERROR(D186/D191,0)</f>
        <v>86.820458352421952</v>
      </c>
      <c r="E197" s="15">
        <f>IFERROR(E186/E191,0)</f>
        <v>90.619919999999993</v>
      </c>
      <c r="F197" s="69">
        <f>IFERROR(E197-C197,0)</f>
        <v>-1.0622742028985641</v>
      </c>
      <c r="G197" s="15">
        <f>IFERROR(G186/G191,0)</f>
        <v>0</v>
      </c>
      <c r="H197" s="69">
        <f>IFERROR(E197-G197,0)</f>
        <v>90.619919999999993</v>
      </c>
      <c r="I197" s="21">
        <f>IFERROR(E197/C197-1,0)</f>
        <v>-1.1586483200300424E-2</v>
      </c>
      <c r="J197" s="22">
        <f>IFERROR(E197/G197-1,0)</f>
        <v>0</v>
      </c>
      <c r="K197" s="55">
        <f>IFERROR(K186/K191,0)</f>
        <v>85.482461398963736</v>
      </c>
      <c r="L197" s="69">
        <f>IFERROR(E197-K197,0)</f>
        <v>5.1374586010362577</v>
      </c>
      <c r="M197" s="73"/>
      <c r="N197" s="74"/>
    </row>
    <row r="198" spans="1:14" s="38" customFormat="1" ht="15" customHeight="1" thickBot="1" x14ac:dyDescent="0.35">
      <c r="A198" s="9"/>
      <c r="B198" s="10" t="s">
        <v>14</v>
      </c>
      <c r="C198" s="16">
        <f>IFERROR(C186/C190,0)</f>
        <v>70.997402360033362</v>
      </c>
      <c r="D198" s="16">
        <f>IFERROR(D186/D190,0)</f>
        <v>30.854586670938641</v>
      </c>
      <c r="E198" s="16">
        <f>IFERROR(E186/E190,0)</f>
        <v>19.250848778297954</v>
      </c>
      <c r="F198" s="70">
        <f t="shared" ref="F198:F199" si="76">IFERROR(E198-C198,0)</f>
        <v>-51.746553581735412</v>
      </c>
      <c r="G198" s="16">
        <f>IFERROR(G186/G190,0)</f>
        <v>-0.12910312319630604</v>
      </c>
      <c r="H198" s="70">
        <f t="shared" ref="H198:H199" si="77">IFERROR(E198-G198,0)</f>
        <v>19.379951901494259</v>
      </c>
      <c r="I198" s="20">
        <f>IFERROR(E198/C198-1,0)</f>
        <v>-0.72885136443900578</v>
      </c>
      <c r="J198" s="11">
        <f>IFERROR(E198/G198-1,0)</f>
        <v>-150.11218490838777</v>
      </c>
      <c r="K198" s="56">
        <f>IFERROR(K186/K190,0)</f>
        <v>52.902312095170913</v>
      </c>
      <c r="L198" s="70">
        <f>IFERROR(E198-K198,0)</f>
        <v>-33.651463316872963</v>
      </c>
      <c r="M198" s="73"/>
      <c r="N198" s="74"/>
    </row>
    <row r="199" spans="1:14" ht="15" customHeight="1" thickBot="1" x14ac:dyDescent="0.35">
      <c r="A199" s="17"/>
      <c r="B199" s="18" t="s">
        <v>34</v>
      </c>
      <c r="C199" s="19">
        <f>IFERROR(C185/C191,0)</f>
        <v>114.9626741923384</v>
      </c>
      <c r="D199" s="19">
        <f>IFERROR(D185/D191,0)</f>
        <v>96.755361303948135</v>
      </c>
      <c r="E199" s="19">
        <f>IFERROR(E185/E191,0)</f>
        <v>118.1977845700023</v>
      </c>
      <c r="F199" s="72">
        <f t="shared" si="76"/>
        <v>3.2351103776639007</v>
      </c>
      <c r="G199" s="19">
        <f>IFERROR(G185/G191,0)</f>
        <v>0</v>
      </c>
      <c r="H199" s="72">
        <f t="shared" si="77"/>
        <v>118.1977845700023</v>
      </c>
      <c r="I199" s="25">
        <f>IFERROR(E199/C199-1,0)</f>
        <v>2.8140528222676764E-2</v>
      </c>
      <c r="J199" s="26">
        <f>IFERROR(E199/G199-1,0)</f>
        <v>0</v>
      </c>
      <c r="K199" s="57">
        <f>IFERROR(K185/K191,0)</f>
        <v>114.67034896663665</v>
      </c>
      <c r="L199" s="72">
        <f>IFERROR(E199-K199,0)</f>
        <v>3.527435603365646</v>
      </c>
      <c r="M199" s="73"/>
      <c r="N199" s="74"/>
    </row>
    <row r="200" spans="1:14" s="27" customFormat="1" ht="15" customHeight="1" thickBot="1" x14ac:dyDescent="0.35">
      <c r="A200" s="43" t="s">
        <v>27</v>
      </c>
      <c r="B200" s="44" t="s">
        <v>20</v>
      </c>
      <c r="C200" s="3">
        <f>SUM(C201:C203)</f>
        <v>24349069.927829139</v>
      </c>
      <c r="D200" s="3">
        <f>SUM(D201:D203)</f>
        <v>13490761.689799251</v>
      </c>
      <c r="E200" s="3">
        <f>SUM('H+HotelBerlinMitte:H4HotelBerlinAlexand'!E200)</f>
        <v>13265825.648355776</v>
      </c>
      <c r="F200" s="71">
        <f>IFERROR(SUM(F201:F203),0)</f>
        <v>-11083244.279473362</v>
      </c>
      <c r="G200" s="3">
        <f>SUM(G201:G203)</f>
        <v>12759787.109999999</v>
      </c>
      <c r="H200" s="71">
        <f>IFERROR(E200-G200,0)</f>
        <v>506038.53835577704</v>
      </c>
      <c r="I200" s="20">
        <f>IFERROR(E200/C200-1,0)</f>
        <v>-0.45518142221958369</v>
      </c>
      <c r="J200" s="11">
        <f>IFERROR(E200/G200-1,0)</f>
        <v>3.965885433615024E-2</v>
      </c>
      <c r="K200" s="51">
        <f t="shared" ref="K200" si="78">SUM(K201:K203)</f>
        <v>14891844.64004053</v>
      </c>
      <c r="L200" s="71">
        <f>IFERROR(SUM(L201:L203),0)</f>
        <v>-1626018.9916847541</v>
      </c>
      <c r="M200" s="73"/>
      <c r="N200" s="74"/>
    </row>
    <row r="201" spans="1:14" s="27" customFormat="1" ht="15" customHeight="1" thickBot="1" x14ac:dyDescent="0.35">
      <c r="A201" s="5"/>
      <c r="B201" s="6" t="s">
        <v>5</v>
      </c>
      <c r="C201" s="45">
        <f>SUM('H+HotelBerlinMitte:H4HotelBerlinAlexand'!C201)</f>
        <v>18803078.086577497</v>
      </c>
      <c r="D201" s="45">
        <f>SUM('H+HotelBerlinMitte:H4HotelBerlinAlexand'!D201)</f>
        <v>9999700.552123975</v>
      </c>
      <c r="E201" s="45">
        <f>SUM('H+HotelBerlinMitte:H4HotelBerlinAlexand'!E201)</f>
        <v>9626931.8737102803</v>
      </c>
      <c r="F201" s="67">
        <f>IFERROR(E201-C201,0)</f>
        <v>-9176146.2128672171</v>
      </c>
      <c r="G201" s="45">
        <f>SUM('H+HotelBerlinMitte:H4HotelBerlinAlexand'!G201)</f>
        <v>8221264.1800000006</v>
      </c>
      <c r="H201" s="67">
        <f t="shared" ref="H201:H203" si="79">IFERROR(E201-G201,0)</f>
        <v>1405667.6937102797</v>
      </c>
      <c r="I201" s="21">
        <f t="shared" ref="I201:I203" si="80">IFERROR(E201/C201-1,0)</f>
        <v>-0.48801298226898138</v>
      </c>
      <c r="J201" s="22">
        <f t="shared" ref="J201:J203" si="81">IFERROR(E201/G201-1,0)</f>
        <v>0.17097950667123318</v>
      </c>
      <c r="K201" s="52">
        <f t="shared" ref="K201:K203" si="82">K186+K171+K156+K141+K126+K111+K96+K81+K66+K51+K36+K21</f>
        <v>10891550.543</v>
      </c>
      <c r="L201" s="67">
        <f>IFERROR(E201-K201,0)</f>
        <v>-1264618.6692897193</v>
      </c>
      <c r="M201" s="73"/>
      <c r="N201" s="74"/>
    </row>
    <row r="202" spans="1:14" s="27" customFormat="1" ht="15" customHeight="1" thickBot="1" x14ac:dyDescent="0.35">
      <c r="A202" s="5"/>
      <c r="B202" s="6" t="s">
        <v>6</v>
      </c>
      <c r="C202" s="45">
        <f>SUM('H+HotelBerlinMitte:H4HotelBerlinAlexand'!C202)</f>
        <v>3719440.3950764113</v>
      </c>
      <c r="D202" s="45">
        <f>SUM('H+HotelBerlinMitte:H4HotelBerlinAlexand'!D202)</f>
        <v>2321819.3236832861</v>
      </c>
      <c r="E202" s="45">
        <f>SUM('H+HotelBerlinMitte:H4HotelBerlinAlexand'!E202)</f>
        <v>2399501.97108489</v>
      </c>
      <c r="F202" s="67">
        <f t="shared" ref="F202:F203" si="83">IFERROR(E202-C202,0)</f>
        <v>-1319938.4239915214</v>
      </c>
      <c r="G202" s="45">
        <f>SUM('H+HotelBerlinMitte:H4HotelBerlinAlexand'!G202)</f>
        <v>2008732.95</v>
      </c>
      <c r="H202" s="67">
        <f t="shared" si="79"/>
        <v>390769.02108489</v>
      </c>
      <c r="I202" s="21">
        <f t="shared" si="80"/>
        <v>-0.35487554142251687</v>
      </c>
      <c r="J202" s="22">
        <f t="shared" si="81"/>
        <v>0.19453507798778835</v>
      </c>
      <c r="K202" s="52">
        <f t="shared" si="82"/>
        <v>2753513.2209289954</v>
      </c>
      <c r="L202" s="67">
        <f>IFERROR(E202-K202,0)</f>
        <v>-354011.24984410545</v>
      </c>
      <c r="M202" s="73"/>
      <c r="N202" s="74"/>
    </row>
    <row r="203" spans="1:14" s="27" customFormat="1" ht="15" customHeight="1" thickBot="1" x14ac:dyDescent="0.35">
      <c r="A203" s="5"/>
      <c r="B203" s="6" t="s">
        <v>7</v>
      </c>
      <c r="C203" s="45">
        <f>SUM('H+HotelBerlinMitte:H4HotelBerlinAlexand'!C203)</f>
        <v>1826551.4461752302</v>
      </c>
      <c r="D203" s="45">
        <f>SUM('H+HotelBerlinMitte:H4HotelBerlinAlexand'!D203)</f>
        <v>1169241.8139919897</v>
      </c>
      <c r="E203" s="45">
        <f>SUM('H+HotelBerlinMitte:H4HotelBerlinAlexand'!E203)</f>
        <v>1239391.803560606</v>
      </c>
      <c r="F203" s="67">
        <f t="shared" si="83"/>
        <v>-587159.64261462423</v>
      </c>
      <c r="G203" s="45">
        <f>SUM('H+HotelBerlinMitte:H4HotelBerlinAlexand'!G203)</f>
        <v>2529789.9799999995</v>
      </c>
      <c r="H203" s="67">
        <f t="shared" si="79"/>
        <v>-1290398.1764393935</v>
      </c>
      <c r="I203" s="21">
        <f t="shared" si="80"/>
        <v>-0.32145803713556886</v>
      </c>
      <c r="J203" s="22">
        <f t="shared" si="81"/>
        <v>-0.51008114770040858</v>
      </c>
      <c r="K203" s="52">
        <f t="shared" si="82"/>
        <v>1246780.8761115354</v>
      </c>
      <c r="L203" s="67">
        <f>IFERROR(E203-K203,0)</f>
        <v>-7389.0725509293843</v>
      </c>
      <c r="M203" s="73"/>
      <c r="N203" s="74"/>
    </row>
    <row r="204" spans="1:14" s="27" customFormat="1" ht="5.0999999999999996" customHeight="1" thickBot="1" x14ac:dyDescent="0.35">
      <c r="A204" s="5"/>
      <c r="B204" s="6"/>
      <c r="C204" s="7"/>
      <c r="D204" s="7"/>
      <c r="E204" s="8"/>
      <c r="F204" s="67"/>
      <c r="G204" s="7"/>
      <c r="H204" s="67"/>
      <c r="I204" s="21"/>
      <c r="J204" s="21"/>
      <c r="K204" s="53"/>
      <c r="L204" s="67"/>
      <c r="M204" s="73"/>
      <c r="N204" s="74"/>
    </row>
    <row r="205" spans="1:14" s="27" customFormat="1" ht="15" customHeight="1" thickBot="1" x14ac:dyDescent="0.35">
      <c r="A205" s="5"/>
      <c r="B205" s="6" t="s">
        <v>8</v>
      </c>
      <c r="C205" s="45">
        <f>SUM('H+HotelBerlinMitte:H4HotelBerlinAlexand'!C205)</f>
        <v>367190</v>
      </c>
      <c r="D205" s="45">
        <f>SUM('H+HotelBerlinMitte:H4HotelBerlinAlexand'!D205)</f>
        <v>367190</v>
      </c>
      <c r="E205" s="46">
        <f>SUM('H+HotelBerlinMitte:H4HotelBerlinAlexand'!E205)</f>
        <v>367190</v>
      </c>
      <c r="F205" s="67">
        <f>IFERROR(E205-C205,0)</f>
        <v>0</v>
      </c>
      <c r="G205" s="45">
        <f>SUM('H+HotelBerlinMitte:H4HotelBerlinAlexand'!G205)</f>
        <v>368196</v>
      </c>
      <c r="H205" s="67">
        <f>IFERROR(E205-G205,0)</f>
        <v>-1006</v>
      </c>
      <c r="I205" s="23"/>
      <c r="J205" s="24"/>
      <c r="K205" s="52">
        <f t="shared" ref="K205:K206" si="84">K190+K175+K160+K145+K130+K115+K100+K85+K70+K55+K40+K25</f>
        <v>367190</v>
      </c>
      <c r="L205" s="67">
        <f>IFERROR(E205-K205,0)</f>
        <v>0</v>
      </c>
      <c r="M205" s="73"/>
      <c r="N205" s="74"/>
    </row>
    <row r="206" spans="1:14" s="27" customFormat="1" ht="15" customHeight="1" thickBot="1" x14ac:dyDescent="0.35">
      <c r="A206" s="5"/>
      <c r="B206" s="6" t="s">
        <v>9</v>
      </c>
      <c r="C206" s="45">
        <f>SUM('H+HotelBerlinMitte:H4HotelBerlinAlexand'!C206)</f>
        <v>194985</v>
      </c>
      <c r="D206" s="45">
        <f>SUM('H+HotelBerlinMitte:H4HotelBerlinAlexand'!D206)</f>
        <v>131091</v>
      </c>
      <c r="E206" s="46">
        <f>SUM('H+HotelBerlinMitte:H4HotelBerlinAlexand'!E206)</f>
        <v>126565</v>
      </c>
      <c r="F206" s="67">
        <f>IFERROR(E206-C206,0)</f>
        <v>-68420</v>
      </c>
      <c r="G206" s="45">
        <f>SUM('H+HotelBerlinMitte:H4HotelBerlinAlexand'!G206)</f>
        <v>108290</v>
      </c>
      <c r="H206" s="67">
        <f>IFERROR(E206-G206,0)</f>
        <v>18275</v>
      </c>
      <c r="I206" s="23"/>
      <c r="J206" s="24"/>
      <c r="K206" s="52">
        <f t="shared" si="84"/>
        <v>141365</v>
      </c>
      <c r="L206" s="67">
        <f>IFERROR(E206-K206,0)</f>
        <v>-14800</v>
      </c>
      <c r="M206" s="73"/>
      <c r="N206" s="74"/>
    </row>
    <row r="207" spans="1:14" s="38" customFormat="1" ht="15" customHeight="1" thickBot="1" x14ac:dyDescent="0.35">
      <c r="A207" s="9"/>
      <c r="B207" s="10" t="s">
        <v>10</v>
      </c>
      <c r="C207" s="11">
        <f>IFERROR(C206/C205,0)</f>
        <v>0.53101936327242028</v>
      </c>
      <c r="D207" s="11">
        <f>IFERROR(D206/D205,0)</f>
        <v>0.35701135651842369</v>
      </c>
      <c r="E207" s="11">
        <f>IFERROR(E206/E205,0)</f>
        <v>0.34468531278084913</v>
      </c>
      <c r="F207" s="68">
        <f>IFERROR(E207-C207,0)</f>
        <v>-0.18633405049157115</v>
      </c>
      <c r="G207" s="11">
        <f>IFERROR(G206/G205,0)</f>
        <v>0.29410965898597485</v>
      </c>
      <c r="H207" s="68">
        <f>IFERROR(E207-G207,0)</f>
        <v>5.0575653794874276E-2</v>
      </c>
      <c r="I207" s="20">
        <f>IFERROR(E207/C207-1,0)</f>
        <v>-0.35089878708618616</v>
      </c>
      <c r="J207" s="11">
        <f>IFERROR(E207/G207-1,0)</f>
        <v>0.17196189329261724</v>
      </c>
      <c r="K207" s="12">
        <f>IFERROR(K206/K205,0)</f>
        <v>0.38499142133500369</v>
      </c>
      <c r="L207" s="68">
        <f>IFERROR(E207-K207,0)</f>
        <v>-4.0306108554154563E-2</v>
      </c>
      <c r="M207" s="73"/>
      <c r="N207" s="74"/>
    </row>
    <row r="208" spans="1:14" s="27" customFormat="1" ht="5.0999999999999996" customHeight="1" thickBot="1" x14ac:dyDescent="0.35">
      <c r="A208" s="5"/>
      <c r="B208" s="6"/>
      <c r="C208" s="7"/>
      <c r="D208" s="13"/>
      <c r="E208" s="14"/>
      <c r="F208" s="67"/>
      <c r="G208" s="13"/>
      <c r="H208" s="67"/>
      <c r="I208" s="21"/>
      <c r="J208" s="22"/>
      <c r="K208" s="54"/>
      <c r="L208" s="67"/>
      <c r="M208" s="73"/>
      <c r="N208" s="74"/>
    </row>
    <row r="209" spans="1:14" s="27" customFormat="1" ht="15" customHeight="1" thickBot="1" x14ac:dyDescent="0.35">
      <c r="A209" s="5"/>
      <c r="B209" s="6" t="s">
        <v>11</v>
      </c>
      <c r="C209" s="45">
        <f>SUM('H+HotelBerlinMitte:H4HotelBerlinAlexand'!C209)</f>
        <v>327368.63000005001</v>
      </c>
      <c r="D209" s="45">
        <f>SUM('H+HotelBerlinMitte:H4HotelBerlinAlexand'!D209)</f>
        <v>222498</v>
      </c>
      <c r="E209" s="46">
        <f>SUM('H+HotelBerlinMitte:H4HotelBerlinAlexand'!E209)</f>
        <v>213055.07384615386</v>
      </c>
      <c r="F209" s="67">
        <f>IFERROR(E209-C209,0)</f>
        <v>-114313.55615389615</v>
      </c>
      <c r="G209" s="45">
        <f>SUM('H+HotelBerlinMitte:H4HotelBerlinAlexand'!G209)</f>
        <v>179576</v>
      </c>
      <c r="H209" s="67">
        <f>IFERROR(E209-G209,0)</f>
        <v>33479.073846153857</v>
      </c>
      <c r="I209" s="21">
        <f>IFERROR(E209/C209-1,0)</f>
        <v>-0.34918909656639574</v>
      </c>
      <c r="J209" s="22">
        <f>IFERROR(E209/G209-1,0)</f>
        <v>0.18643401036972573</v>
      </c>
      <c r="K209" s="52">
        <f t="shared" ref="K209" si="85">K194+K179+K164+K149+K134+K119+K104+K89+K74+K59+K44+K29</f>
        <v>239630.83000000002</v>
      </c>
      <c r="L209" s="67">
        <f>IFERROR(E209-K209,0)</f>
        <v>-26575.75615384616</v>
      </c>
      <c r="M209" s="73"/>
      <c r="N209" s="74"/>
    </row>
    <row r="210" spans="1:14" s="27" customFormat="1" ht="15" customHeight="1" thickBot="1" x14ac:dyDescent="0.35">
      <c r="A210" s="5"/>
      <c r="B210" s="6" t="s">
        <v>12</v>
      </c>
      <c r="C210" s="15">
        <f>IFERROR(C209/C206,0)</f>
        <v>1.6789426366133293</v>
      </c>
      <c r="D210" s="15">
        <f>IFERROR(D209/D206,0)</f>
        <v>1.697278989404307</v>
      </c>
      <c r="E210" s="39">
        <f>IFERROR(E209/E206,0)</f>
        <v>1.6833648626883724</v>
      </c>
      <c r="F210" s="69">
        <f>IFERROR(E210-C210,0)</f>
        <v>4.4222260750430564E-3</v>
      </c>
      <c r="G210" s="39">
        <f>IFERROR(G209/G206,0)</f>
        <v>1.6582879305568381</v>
      </c>
      <c r="H210" s="69">
        <f>IFERROR(E210-G210,0)</f>
        <v>2.507693213153428E-2</v>
      </c>
      <c r="I210" s="21"/>
      <c r="J210" s="22"/>
      <c r="K210" s="55">
        <f t="shared" ref="K210" si="86">IFERROR(K209/K206,0)</f>
        <v>1.6951213525271462</v>
      </c>
      <c r="L210" s="69">
        <f>IFERROR(E210-K210,0)</f>
        <v>-1.1756489838773865E-2</v>
      </c>
      <c r="M210" s="73"/>
      <c r="N210" s="74"/>
    </row>
    <row r="211" spans="1:14" s="27" customFormat="1" ht="5.0999999999999996" customHeight="1" thickBot="1" x14ac:dyDescent="0.35">
      <c r="A211" s="5"/>
      <c r="B211" s="6"/>
      <c r="C211" s="7"/>
      <c r="D211" s="7"/>
      <c r="E211" s="8"/>
      <c r="F211" s="69"/>
      <c r="G211" s="8"/>
      <c r="H211" s="69"/>
      <c r="I211" s="21"/>
      <c r="J211" s="22"/>
      <c r="K211" s="53"/>
      <c r="L211" s="69"/>
      <c r="M211" s="73"/>
      <c r="N211" s="74"/>
    </row>
    <row r="212" spans="1:14" s="27" customFormat="1" ht="15" customHeight="1" thickBot="1" x14ac:dyDescent="0.35">
      <c r="A212" s="5"/>
      <c r="B212" s="6" t="s">
        <v>13</v>
      </c>
      <c r="C212" s="15">
        <f>IFERROR(C201/C206,0)</f>
        <v>96.433459428045737</v>
      </c>
      <c r="D212" s="15">
        <f>IFERROR(D201/D206,0)</f>
        <v>76.280603184993439</v>
      </c>
      <c r="E212" s="39">
        <f>IFERROR(E201/E206,0)</f>
        <v>76.063144421524754</v>
      </c>
      <c r="F212" s="69">
        <f>IFERROR(E212-C212,0)</f>
        <v>-20.370315006520983</v>
      </c>
      <c r="G212" s="39">
        <f>IFERROR(G201/G206,0)</f>
        <v>75.918960014775152</v>
      </c>
      <c r="H212" s="69">
        <f>IFERROR(E212-G212,0)</f>
        <v>0.14418440674960209</v>
      </c>
      <c r="I212" s="21">
        <f>IFERROR(E212/C212-1,0)</f>
        <v>-0.2112370034979445</v>
      </c>
      <c r="J212" s="22">
        <f>IFERROR(E212/G212-1,0)</f>
        <v>1.8991883808938681E-3</v>
      </c>
      <c r="K212" s="55">
        <f t="shared" ref="K212" si="87">IFERROR(K201/K206,0)</f>
        <v>77.045595041205388</v>
      </c>
      <c r="L212" s="69">
        <f>IFERROR(E212-K212,0)</f>
        <v>-0.98245061968063396</v>
      </c>
      <c r="M212" s="73"/>
      <c r="N212" s="74"/>
    </row>
    <row r="213" spans="1:14" s="38" customFormat="1" ht="15" customHeight="1" thickBot="1" x14ac:dyDescent="0.35">
      <c r="A213" s="9"/>
      <c r="B213" s="10" t="s">
        <v>14</v>
      </c>
      <c r="C213" s="16">
        <f>IFERROR(C201/C205,0)</f>
        <v>51.208034223637618</v>
      </c>
      <c r="D213" s="16">
        <f>IFERROR(D201/D205,0)</f>
        <v>27.233041619118101</v>
      </c>
      <c r="E213" s="40">
        <f>IFERROR(E201/E205,0)</f>
        <v>26.217848726028162</v>
      </c>
      <c r="F213" s="70">
        <f t="shared" ref="F213:F214" si="88">IFERROR(E213-C213,0)</f>
        <v>-24.990185497609456</v>
      </c>
      <c r="G213" s="40">
        <f>IFERROR(G201/G205,0)</f>
        <v>22.32849944051538</v>
      </c>
      <c r="H213" s="70">
        <f t="shared" ref="H213:H214" si="89">IFERROR(E213-G213,0)</f>
        <v>3.8893492855127825</v>
      </c>
      <c r="I213" s="20">
        <f>IFERROR(E213/C213-1,0)</f>
        <v>-0.48801298226898138</v>
      </c>
      <c r="J213" s="11">
        <f>IFERROR(E213/G213-1,0)</f>
        <v>0.1741876697032092</v>
      </c>
      <c r="K213" s="56">
        <f t="shared" ref="K213" si="90">IFERROR(K201/K205,0)</f>
        <v>29.661893142514774</v>
      </c>
      <c r="L213" s="70">
        <f>IFERROR(E213-K213,0)</f>
        <v>-3.4440444164866122</v>
      </c>
      <c r="M213" s="73"/>
      <c r="N213" s="74"/>
    </row>
    <row r="214" spans="1:14" ht="15" customHeight="1" thickBot="1" x14ac:dyDescent="0.35">
      <c r="A214" s="17"/>
      <c r="B214" s="18" t="s">
        <v>34</v>
      </c>
      <c r="C214" s="19">
        <f>IFERROR(C200/C206,0)</f>
        <v>124.87663116562371</v>
      </c>
      <c r="D214" s="19">
        <f>IFERROR(D200/D206,0)</f>
        <v>102.91142557306948</v>
      </c>
      <c r="E214" s="19">
        <f>IFERROR(E200/E206,0)</f>
        <v>104.81432977802534</v>
      </c>
      <c r="F214" s="72">
        <f t="shared" si="88"/>
        <v>-20.062301387598367</v>
      </c>
      <c r="G214" s="19">
        <f>IFERROR(G200/G206,0)</f>
        <v>117.82978215901744</v>
      </c>
      <c r="H214" s="72">
        <f t="shared" si="89"/>
        <v>-13.015452380992102</v>
      </c>
      <c r="I214" s="25">
        <f>IFERROR(E214/C214-1,0)</f>
        <v>-0.16065697160735992</v>
      </c>
      <c r="J214" s="26">
        <f>IFERROR(E214/G214-1,0)</f>
        <v>-0.11045978480573837</v>
      </c>
      <c r="K214" s="57">
        <f t="shared" ref="K214" si="91">IFERROR(K200/K206,0)</f>
        <v>105.34322243865546</v>
      </c>
      <c r="L214" s="72">
        <f>IFERROR(E214-K214,0)</f>
        <v>-0.5288926606301203</v>
      </c>
      <c r="M214" s="73"/>
      <c r="N214" s="74"/>
    </row>
  </sheetData>
  <sheetProtection algorithmName="SHA-512" hashValue="t4JnB1K4cRG5kx23Cm2zuvtC0agb8MT0j6MRw38ZmTHgPxeC9OVSwAsZCw/g2FOM80sBaIACZqc1LX30ixIucQ==" saltValue="AS+W5hNEJTZR5pNe/xn6cw==" spinCount="100000" sheet="1" objects="1" scenarios="1"/>
  <mergeCells count="19">
    <mergeCell ref="M170:N184"/>
    <mergeCell ref="M185:N199"/>
    <mergeCell ref="M200:N214"/>
    <mergeCell ref="M140:N154"/>
    <mergeCell ref="M155:N169"/>
    <mergeCell ref="M110:N124"/>
    <mergeCell ref="M125:N139"/>
    <mergeCell ref="M80:N94"/>
    <mergeCell ref="M95:N109"/>
    <mergeCell ref="M50:N64"/>
    <mergeCell ref="M65:N79"/>
    <mergeCell ref="M20:N34"/>
    <mergeCell ref="M35:N49"/>
    <mergeCell ref="A3:A4"/>
    <mergeCell ref="B3:B4"/>
    <mergeCell ref="M3:N3"/>
    <mergeCell ref="M4:N4"/>
    <mergeCell ref="C3:E3"/>
    <mergeCell ref="M5:N19"/>
  </mergeCells>
  <conditionalFormatting sqref="I159">
    <cfRule type="expression" dxfId="474" priority="58">
      <formula>$I155&gt;=0</formula>
    </cfRule>
    <cfRule type="expression" dxfId="473" priority="59">
      <formula>$I155&lt;0</formula>
    </cfRule>
  </conditionalFormatting>
  <conditionalFormatting sqref="J159">
    <cfRule type="expression" dxfId="472" priority="56">
      <formula>$J155&gt;=0</formula>
    </cfRule>
    <cfRule type="expression" dxfId="471" priority="57">
      <formula>$J155&lt;0</formula>
    </cfRule>
  </conditionalFormatting>
  <conditionalFormatting sqref="I174">
    <cfRule type="expression" dxfId="470" priority="54">
      <formula>$I170&gt;=0</formula>
    </cfRule>
    <cfRule type="expression" dxfId="469" priority="55">
      <formula>$I170&lt;0</formula>
    </cfRule>
  </conditionalFormatting>
  <conditionalFormatting sqref="J174">
    <cfRule type="expression" dxfId="468" priority="52">
      <formula>$J170&gt;=0</formula>
    </cfRule>
    <cfRule type="expression" dxfId="467" priority="53">
      <formula>$J170&lt;0</formula>
    </cfRule>
  </conditionalFormatting>
  <conditionalFormatting sqref="I24">
    <cfRule type="expression" dxfId="466" priority="94">
      <formula>$I20&gt;=0</formula>
    </cfRule>
    <cfRule type="expression" dxfId="465" priority="95">
      <formula>$I20&lt;0</formula>
    </cfRule>
  </conditionalFormatting>
  <conditionalFormatting sqref="J24">
    <cfRule type="expression" dxfId="464" priority="92">
      <formula>$J20&gt;=0</formula>
    </cfRule>
    <cfRule type="expression" dxfId="463" priority="93">
      <formula>$J20&lt;0</formula>
    </cfRule>
  </conditionalFormatting>
  <conditionalFormatting sqref="I39">
    <cfRule type="expression" dxfId="462" priority="90">
      <formula>$I35&gt;=0</formula>
    </cfRule>
    <cfRule type="expression" dxfId="461" priority="91">
      <formula>$I35&lt;0</formula>
    </cfRule>
  </conditionalFormatting>
  <conditionalFormatting sqref="J39">
    <cfRule type="expression" dxfId="460" priority="88">
      <formula>$J35&gt;=0</formula>
    </cfRule>
    <cfRule type="expression" dxfId="459" priority="89">
      <formula>$J35&lt;0</formula>
    </cfRule>
  </conditionalFormatting>
  <conditionalFormatting sqref="I54">
    <cfRule type="expression" dxfId="458" priority="86">
      <formula>$I50&gt;=0</formula>
    </cfRule>
    <cfRule type="expression" dxfId="457" priority="87">
      <formula>$I50&lt;0</formula>
    </cfRule>
  </conditionalFormatting>
  <conditionalFormatting sqref="J54">
    <cfRule type="expression" dxfId="456" priority="84">
      <formula>$J50&gt;=0</formula>
    </cfRule>
    <cfRule type="expression" dxfId="455" priority="85">
      <formula>$J50&lt;0</formula>
    </cfRule>
  </conditionalFormatting>
  <conditionalFormatting sqref="I69">
    <cfRule type="expression" dxfId="454" priority="82">
      <formula>$I65&gt;=0</formula>
    </cfRule>
    <cfRule type="expression" dxfId="453" priority="83">
      <formula>$I65&lt;0</formula>
    </cfRule>
  </conditionalFormatting>
  <conditionalFormatting sqref="J69">
    <cfRule type="expression" dxfId="452" priority="80">
      <formula>$J65&gt;=0</formula>
    </cfRule>
    <cfRule type="expression" dxfId="451" priority="81">
      <formula>$J65&lt;0</formula>
    </cfRule>
  </conditionalFormatting>
  <conditionalFormatting sqref="I84">
    <cfRule type="expression" dxfId="450" priority="78">
      <formula>$I80&gt;=0</formula>
    </cfRule>
    <cfRule type="expression" dxfId="449" priority="79">
      <formula>$I80&lt;0</formula>
    </cfRule>
  </conditionalFormatting>
  <conditionalFormatting sqref="J84">
    <cfRule type="expression" dxfId="448" priority="76">
      <formula>$J80&gt;=0</formula>
    </cfRule>
    <cfRule type="expression" dxfId="447" priority="77">
      <formula>$J80&lt;0</formula>
    </cfRule>
  </conditionalFormatting>
  <conditionalFormatting sqref="I99">
    <cfRule type="expression" dxfId="446" priority="74">
      <formula>$I95&gt;=0</formula>
    </cfRule>
    <cfRule type="expression" dxfId="445" priority="75">
      <formula>$I95&lt;0</formula>
    </cfRule>
  </conditionalFormatting>
  <conditionalFormatting sqref="J99">
    <cfRule type="expression" dxfId="444" priority="72">
      <formula>$J95&gt;=0</formula>
    </cfRule>
    <cfRule type="expression" dxfId="443" priority="73">
      <formula>$J95&lt;0</formula>
    </cfRule>
  </conditionalFormatting>
  <conditionalFormatting sqref="I114">
    <cfRule type="expression" dxfId="442" priority="70">
      <formula>$I110&gt;=0</formula>
    </cfRule>
    <cfRule type="expression" dxfId="441" priority="71">
      <formula>$I110&lt;0</formula>
    </cfRule>
  </conditionalFormatting>
  <conditionalFormatting sqref="J114">
    <cfRule type="expression" dxfId="440" priority="68">
      <formula>$J110&gt;=0</formula>
    </cfRule>
    <cfRule type="expression" dxfId="439" priority="69">
      <formula>$J110&lt;0</formula>
    </cfRule>
  </conditionalFormatting>
  <conditionalFormatting sqref="I129">
    <cfRule type="expression" dxfId="438" priority="66">
      <formula>$I125&gt;=0</formula>
    </cfRule>
    <cfRule type="expression" dxfId="437" priority="67">
      <formula>$I125&lt;0</formula>
    </cfRule>
  </conditionalFormatting>
  <conditionalFormatting sqref="J129">
    <cfRule type="expression" dxfId="436" priority="64">
      <formula>$J125&gt;=0</formula>
    </cfRule>
    <cfRule type="expression" dxfId="435" priority="65">
      <formula>$J125&lt;0</formula>
    </cfRule>
  </conditionalFormatting>
  <conditionalFormatting sqref="I144">
    <cfRule type="expression" dxfId="434" priority="62">
      <formula>$I140&gt;=0</formula>
    </cfRule>
    <cfRule type="expression" dxfId="433" priority="63">
      <formula>$I140&lt;0</formula>
    </cfRule>
  </conditionalFormatting>
  <conditionalFormatting sqref="J144">
    <cfRule type="expression" dxfId="432" priority="60">
      <formula>$J140&gt;=0</formula>
    </cfRule>
    <cfRule type="expression" dxfId="431" priority="61">
      <formula>$J140&lt;0</formula>
    </cfRule>
  </conditionalFormatting>
  <conditionalFormatting sqref="I189">
    <cfRule type="expression" dxfId="430" priority="50">
      <formula>$I185&gt;=0</formula>
    </cfRule>
    <cfRule type="expression" dxfId="429" priority="51">
      <formula>$I185&lt;0</formula>
    </cfRule>
  </conditionalFormatting>
  <conditionalFormatting sqref="J189">
    <cfRule type="expression" dxfId="428" priority="48">
      <formula>$J185&gt;=0</formula>
    </cfRule>
    <cfRule type="expression" dxfId="427" priority="49">
      <formula>$J185&lt;0</formula>
    </cfRule>
  </conditionalFormatting>
  <conditionalFormatting sqref="I204">
    <cfRule type="expression" dxfId="426" priority="46">
      <formula>$I200&gt;=0</formula>
    </cfRule>
    <cfRule type="expression" dxfId="425" priority="47">
      <formula>$I200&lt;0</formula>
    </cfRule>
  </conditionalFormatting>
  <conditionalFormatting sqref="J204">
    <cfRule type="expression" dxfId="424" priority="44">
      <formula>$J200&gt;=0</formula>
    </cfRule>
    <cfRule type="expression" dxfId="423" priority="45">
      <formula>$J200&lt;0</formula>
    </cfRule>
  </conditionalFormatting>
  <conditionalFormatting sqref="I9">
    <cfRule type="expression" dxfId="422" priority="42">
      <formula>$I5&gt;=0</formula>
    </cfRule>
    <cfRule type="expression" dxfId="421" priority="43">
      <formula>$I5&lt;0</formula>
    </cfRule>
  </conditionalFormatting>
  <conditionalFormatting sqref="J9">
    <cfRule type="expression" dxfId="420" priority="40">
      <formula>$J5&gt;=0</formula>
    </cfRule>
    <cfRule type="expression" dxfId="419" priority="41">
      <formula>$J5&lt;0</formula>
    </cfRule>
  </conditionalFormatting>
  <conditionalFormatting sqref="L207">
    <cfRule type="cellIs" dxfId="418" priority="39" operator="lessThan">
      <formula>0</formula>
    </cfRule>
  </conditionalFormatting>
  <conditionalFormatting sqref="H207">
    <cfRule type="cellIs" dxfId="417" priority="38" operator="lessThan">
      <formula>0</formula>
    </cfRule>
  </conditionalFormatting>
  <conditionalFormatting sqref="F207">
    <cfRule type="cellIs" dxfId="416" priority="37" operator="lessThan">
      <formula>0</formula>
    </cfRule>
  </conditionalFormatting>
  <conditionalFormatting sqref="F192">
    <cfRule type="cellIs" dxfId="415" priority="36" operator="lessThan">
      <formula>0</formula>
    </cfRule>
  </conditionalFormatting>
  <conditionalFormatting sqref="H192">
    <cfRule type="cellIs" dxfId="414" priority="35" operator="lessThan">
      <formula>0</formula>
    </cfRule>
  </conditionalFormatting>
  <conditionalFormatting sqref="L192">
    <cfRule type="cellIs" dxfId="413" priority="34" operator="lessThan">
      <formula>0</formula>
    </cfRule>
  </conditionalFormatting>
  <conditionalFormatting sqref="L177">
    <cfRule type="cellIs" dxfId="412" priority="33" operator="lessThan">
      <formula>0</formula>
    </cfRule>
  </conditionalFormatting>
  <conditionalFormatting sqref="H177">
    <cfRule type="cellIs" dxfId="411" priority="32" operator="lessThan">
      <formula>0</formula>
    </cfRule>
  </conditionalFormatting>
  <conditionalFormatting sqref="F177">
    <cfRule type="cellIs" dxfId="410" priority="31" operator="lessThan">
      <formula>0</formula>
    </cfRule>
  </conditionalFormatting>
  <conditionalFormatting sqref="F162">
    <cfRule type="cellIs" dxfId="409" priority="30" operator="lessThan">
      <formula>0</formula>
    </cfRule>
  </conditionalFormatting>
  <conditionalFormatting sqref="H162">
    <cfRule type="cellIs" dxfId="408" priority="29" operator="lessThan">
      <formula>0</formula>
    </cfRule>
  </conditionalFormatting>
  <conditionalFormatting sqref="L162">
    <cfRule type="cellIs" dxfId="407" priority="28" operator="lessThan">
      <formula>0</formula>
    </cfRule>
  </conditionalFormatting>
  <conditionalFormatting sqref="L147">
    <cfRule type="cellIs" dxfId="406" priority="27" operator="lessThan">
      <formula>0</formula>
    </cfRule>
  </conditionalFormatting>
  <conditionalFormatting sqref="H147">
    <cfRule type="cellIs" dxfId="405" priority="26" operator="lessThan">
      <formula>0</formula>
    </cfRule>
  </conditionalFormatting>
  <conditionalFormatting sqref="F147">
    <cfRule type="cellIs" dxfId="404" priority="25" operator="lessThan">
      <formula>0</formula>
    </cfRule>
  </conditionalFormatting>
  <conditionalFormatting sqref="F132">
    <cfRule type="cellIs" dxfId="403" priority="24" operator="lessThan">
      <formula>0</formula>
    </cfRule>
  </conditionalFormatting>
  <conditionalFormatting sqref="H132">
    <cfRule type="cellIs" dxfId="402" priority="23" operator="lessThan">
      <formula>0</formula>
    </cfRule>
  </conditionalFormatting>
  <conditionalFormatting sqref="L132">
    <cfRule type="cellIs" dxfId="401" priority="22" operator="lessThan">
      <formula>0</formula>
    </cfRule>
  </conditionalFormatting>
  <conditionalFormatting sqref="L117">
    <cfRule type="cellIs" dxfId="400" priority="21" operator="lessThan">
      <formula>0</formula>
    </cfRule>
  </conditionalFormatting>
  <conditionalFormatting sqref="H117">
    <cfRule type="cellIs" dxfId="399" priority="20" operator="lessThan">
      <formula>0</formula>
    </cfRule>
  </conditionalFormatting>
  <conditionalFormatting sqref="F117">
    <cfRule type="cellIs" dxfId="398" priority="19" operator="lessThan">
      <formula>0</formula>
    </cfRule>
  </conditionalFormatting>
  <conditionalFormatting sqref="F102">
    <cfRule type="cellIs" dxfId="397" priority="18" operator="lessThan">
      <formula>0</formula>
    </cfRule>
  </conditionalFormatting>
  <conditionalFormatting sqref="H102">
    <cfRule type="cellIs" dxfId="396" priority="17" operator="lessThan">
      <formula>0</formula>
    </cfRule>
  </conditionalFormatting>
  <conditionalFormatting sqref="L102">
    <cfRule type="cellIs" dxfId="395" priority="16" operator="lessThan">
      <formula>0</formula>
    </cfRule>
  </conditionalFormatting>
  <conditionalFormatting sqref="L87">
    <cfRule type="cellIs" dxfId="394" priority="15" operator="lessThan">
      <formula>0</formula>
    </cfRule>
  </conditionalFormatting>
  <conditionalFormatting sqref="H87">
    <cfRule type="cellIs" dxfId="393" priority="14" operator="lessThan">
      <formula>0</formula>
    </cfRule>
  </conditionalFormatting>
  <conditionalFormatting sqref="F87">
    <cfRule type="cellIs" dxfId="392" priority="13" operator="lessThan">
      <formula>0</formula>
    </cfRule>
  </conditionalFormatting>
  <conditionalFormatting sqref="F72">
    <cfRule type="cellIs" dxfId="391" priority="12" operator="lessThan">
      <formula>0</formula>
    </cfRule>
  </conditionalFormatting>
  <conditionalFormatting sqref="H72">
    <cfRule type="cellIs" dxfId="390" priority="11" operator="lessThan">
      <formula>0</formula>
    </cfRule>
  </conditionalFormatting>
  <conditionalFormatting sqref="L72">
    <cfRule type="cellIs" dxfId="389" priority="10" operator="lessThan">
      <formula>0</formula>
    </cfRule>
  </conditionalFormatting>
  <conditionalFormatting sqref="L57">
    <cfRule type="cellIs" dxfId="388" priority="9" operator="lessThan">
      <formula>0</formula>
    </cfRule>
  </conditionalFormatting>
  <conditionalFormatting sqref="H57">
    <cfRule type="cellIs" dxfId="387" priority="8" operator="lessThan">
      <formula>0</formula>
    </cfRule>
  </conditionalFormatting>
  <conditionalFormatting sqref="F57">
    <cfRule type="cellIs" dxfId="386" priority="7" operator="lessThan">
      <formula>0</formula>
    </cfRule>
  </conditionalFormatting>
  <conditionalFormatting sqref="F42">
    <cfRule type="cellIs" dxfId="385" priority="6" operator="lessThan">
      <formula>0</formula>
    </cfRule>
  </conditionalFormatting>
  <conditionalFormatting sqref="H42">
    <cfRule type="cellIs" dxfId="384" priority="5" operator="lessThan">
      <formula>0</formula>
    </cfRule>
  </conditionalFormatting>
  <conditionalFormatting sqref="L42">
    <cfRule type="cellIs" dxfId="383" priority="4" operator="lessThan">
      <formula>0</formula>
    </cfRule>
  </conditionalFormatting>
  <conditionalFormatting sqref="L27">
    <cfRule type="cellIs" dxfId="382" priority="3" operator="lessThan">
      <formula>0</formula>
    </cfRule>
  </conditionalFormatting>
  <conditionalFormatting sqref="H27">
    <cfRule type="cellIs" dxfId="381" priority="2" operator="lessThan">
      <formula>0</formula>
    </cfRule>
  </conditionalFormatting>
  <conditionalFormatting sqref="F27">
    <cfRule type="cellIs" dxfId="380" priority="1" operator="lessThan">
      <formula>0</formula>
    </cfRule>
  </conditionalFormatting>
  <dataValidations count="2">
    <dataValidation type="list" allowBlank="1" showInputMessage="1" showErrorMessage="1" sqref="B5" xr:uid="{00000000-0002-0000-0000-000000000000}">
      <formula1>"Januar,Februar,März,April,Mai,Juni,Juli,August,September,Oktober,November,Dezember"</formula1>
    </dataValidation>
    <dataValidation type="list" allowBlank="1" showInputMessage="1" showErrorMessage="1" sqref="B3:B4" xr:uid="{00000000-0002-0000-0000-000001000000}">
      <formula1>region_list</formula1>
    </dataValidation>
  </dataValidations>
  <pageMargins left="0.70866141732283472" right="0.70866141732283472" top="0.59055118110236227" bottom="0.59055118110236227" header="0.31496062992125984" footer="0.31496062992125984"/>
  <pageSetup paperSize="9" scale="45" fitToHeight="0" orientation="portrait" r:id="rId1"/>
  <rowBreaks count="1" manualBreakCount="1">
    <brk id="109" max="16383" man="1"/>
  </rowBreaks>
  <ignoredErrors>
    <ignoredError sqref="F12:F214 L20:L214" formula="1"/>
  </ignoredError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14">
    <tabColor theme="3" tint="0.39997558519241921"/>
    <outlinePr summaryBelow="0" summaryRight="0"/>
    <pageSetUpPr fitToPage="1"/>
  </sheetPr>
  <dimension ref="A1:N214"/>
  <sheetViews>
    <sheetView showGridLines="0" zoomScale="80" zoomScaleNormal="80" zoomScaleSheetLayoutView="85" workbookViewId="0">
      <pane ySplit="19" topLeftCell="A170" activePane="bottomLeft" state="frozen"/>
      <selection activeCell="B3" sqref="B3:B4"/>
      <selection pane="bottomLeft" activeCell="A170" sqref="A170"/>
    </sheetView>
  </sheetViews>
  <sheetFormatPr baseColWidth="10" defaultColWidth="11.44140625" defaultRowHeight="15" x14ac:dyDescent="0.3"/>
  <cols>
    <col min="1" max="1" width="4.88671875" style="27" bestFit="1" customWidth="1"/>
    <col min="2" max="2" width="20.44140625" style="27" bestFit="1" customWidth="1"/>
    <col min="3" max="5" width="13.6640625" style="27" customWidth="1"/>
    <col min="6" max="6" width="13.6640625" style="28" customWidth="1"/>
    <col min="7" max="7" width="13.6640625" style="27" customWidth="1"/>
    <col min="8" max="8" width="13.6640625" style="28" customWidth="1"/>
    <col min="9" max="11" width="13.6640625" style="27" customWidth="1"/>
    <col min="12" max="12" width="13.6640625" style="28" customWidth="1"/>
    <col min="13" max="13" width="7.88671875" style="27" customWidth="1"/>
    <col min="14" max="14" width="23.6640625" style="27" customWidth="1"/>
    <col min="15" max="16384" width="11.44140625" style="30"/>
  </cols>
  <sheetData>
    <row r="1" spans="1:14" x14ac:dyDescent="0.3">
      <c r="M1" s="47">
        <f>IFERROR(VLOOKUP(B3,hotel_information,2,FALSE),0)</f>
        <v>145</v>
      </c>
      <c r="N1" s="29" t="s">
        <v>28</v>
      </c>
    </row>
    <row r="2" spans="1:14" ht="15.6" thickBot="1" x14ac:dyDescent="0.35">
      <c r="M2" s="47">
        <f>IFERROR(VLOOKUP(B3,hotel_information,3,FALSE),0)</f>
        <v>290</v>
      </c>
      <c r="N2" s="29" t="s">
        <v>29</v>
      </c>
    </row>
    <row r="3" spans="1:14" s="27" customFormat="1" ht="13.5" customHeight="1" thickBot="1" x14ac:dyDescent="0.3">
      <c r="A3" s="75"/>
      <c r="B3" s="77" t="s">
        <v>48</v>
      </c>
      <c r="C3" s="83">
        <v>2021</v>
      </c>
      <c r="D3" s="84"/>
      <c r="E3" s="85"/>
      <c r="F3" s="31"/>
      <c r="G3" s="31"/>
      <c r="H3" s="31"/>
      <c r="I3" s="31"/>
      <c r="J3" s="31"/>
      <c r="K3" s="32"/>
      <c r="L3" s="32"/>
      <c r="M3" s="79" t="s">
        <v>30</v>
      </c>
      <c r="N3" s="80"/>
    </row>
    <row r="4" spans="1:14" s="27" customFormat="1" ht="14.4" thickBot="1" x14ac:dyDescent="0.35">
      <c r="A4" s="76"/>
      <c r="B4" s="78"/>
      <c r="C4" s="33" t="s">
        <v>0</v>
      </c>
      <c r="D4" s="34" t="s">
        <v>1</v>
      </c>
      <c r="E4" s="34" t="s">
        <v>31</v>
      </c>
      <c r="F4" s="35" t="s">
        <v>2</v>
      </c>
      <c r="G4" s="34" t="s">
        <v>39</v>
      </c>
      <c r="H4" s="50" t="s">
        <v>38</v>
      </c>
      <c r="I4" s="34" t="s">
        <v>3</v>
      </c>
      <c r="J4" s="34" t="s">
        <v>4</v>
      </c>
      <c r="K4" s="48" t="s">
        <v>37</v>
      </c>
      <c r="L4" s="58" t="s">
        <v>32</v>
      </c>
      <c r="M4" s="81">
        <f>IFERROR(VLOOKUP(B3,hotel_information,6,FALSE),0)</f>
        <v>62.697019471138752</v>
      </c>
      <c r="N4" s="82"/>
    </row>
    <row r="5" spans="1:14" s="27" customFormat="1" ht="15" customHeight="1" thickBot="1" x14ac:dyDescent="0.35">
      <c r="A5" s="36" t="s">
        <v>27</v>
      </c>
      <c r="B5" s="37" t="str">
        <f>'Region Berlin'!B5</f>
        <v>Dezember</v>
      </c>
      <c r="C5" s="3">
        <f>SUM(C6:C8)</f>
        <v>3463716</v>
      </c>
      <c r="D5" s="3">
        <f>SUM(D6:D8)</f>
        <v>1640108</v>
      </c>
      <c r="E5" s="3">
        <f>SUM(E6:E8)</f>
        <v>1677746</v>
      </c>
      <c r="F5" s="66">
        <f>IFERROR(SUM(F6:F8),0)</f>
        <v>-1785970</v>
      </c>
      <c r="G5" s="3">
        <f>SUM(G6:G8)</f>
        <v>1706633</v>
      </c>
      <c r="H5" s="66">
        <f>IFERROR(E5-G5,0)</f>
        <v>-28887</v>
      </c>
      <c r="I5" s="20">
        <f>IFERROR(E5/C5-1,0)</f>
        <v>-0.515622527943977</v>
      </c>
      <c r="J5" s="11">
        <f>IFERROR(E5/G5-1,0)</f>
        <v>-1.6926310460421146E-2</v>
      </c>
      <c r="K5" s="51">
        <f>SUM(K6:K8)</f>
        <v>1857984</v>
      </c>
      <c r="L5" s="66">
        <f>IFERROR(SUM(L6:L8),0)</f>
        <v>-180238</v>
      </c>
      <c r="M5" s="73"/>
      <c r="N5" s="74"/>
    </row>
    <row r="6" spans="1:14" s="27" customFormat="1" ht="15" customHeight="1" thickBot="1" x14ac:dyDescent="0.35">
      <c r="A6" s="5"/>
      <c r="B6" s="6" t="s">
        <v>5</v>
      </c>
      <c r="C6" s="45" cm="1">
        <f t="array" ref="C6">NestedIF($B$5,C6)</f>
        <v>3005312</v>
      </c>
      <c r="D6" s="45" cm="1">
        <f t="array" ref="D6">NestedIF($B$5,D6)</f>
        <v>1345455</v>
      </c>
      <c r="E6" s="45" cm="1">
        <f t="array" ref="E6">NestedIF($B$5,E6)</f>
        <v>1353087</v>
      </c>
      <c r="F6" s="67">
        <f>IFERROR(E6-C6,0)</f>
        <v>-1652225</v>
      </c>
      <c r="G6" s="45" cm="1">
        <f t="array" ref="G6">NestedIF($B$5,G6)</f>
        <v>1364724</v>
      </c>
      <c r="H6" s="67">
        <f t="shared" ref="H6:H8" si="0">IFERROR(E6-G6,0)</f>
        <v>-11637</v>
      </c>
      <c r="I6" s="21">
        <f t="shared" ref="I6:I8" si="1">IFERROR(E6/C6-1,0)</f>
        <v>-0.54976821042207935</v>
      </c>
      <c r="J6" s="22">
        <f t="shared" ref="J6:J8" si="2">IFERROR(E6/G6-1,0)</f>
        <v>-8.526998865704738E-3</v>
      </c>
      <c r="K6" s="52" cm="1">
        <f t="array" ref="K6">NestedIF($B$5,K6)</f>
        <v>1500186</v>
      </c>
      <c r="L6" s="67">
        <f>IFERROR(E6-K6,0)</f>
        <v>-147099</v>
      </c>
      <c r="M6" s="73"/>
      <c r="N6" s="74"/>
    </row>
    <row r="7" spans="1:14" s="27" customFormat="1" ht="15" customHeight="1" thickBot="1" x14ac:dyDescent="0.35">
      <c r="A7" s="5"/>
      <c r="B7" s="6" t="s">
        <v>6</v>
      </c>
      <c r="C7" s="45" cm="1">
        <f t="array" ref="C7">NestedIF($B$5,C7)</f>
        <v>308828</v>
      </c>
      <c r="D7" s="45" cm="1">
        <f t="array" ref="D7">NestedIF($B$5,D7)</f>
        <v>160561</v>
      </c>
      <c r="E7" s="45" cm="1">
        <f t="array" ref="E7">NestedIF($B$5,E7)</f>
        <v>180797</v>
      </c>
      <c r="F7" s="67">
        <f t="shared" ref="F7:F8" si="3">IFERROR(E7-C7,0)</f>
        <v>-128031</v>
      </c>
      <c r="G7" s="45" cm="1">
        <f t="array" ref="G7">NestedIF($B$5,G7)</f>
        <v>140869</v>
      </c>
      <c r="H7" s="67">
        <f t="shared" si="0"/>
        <v>39928</v>
      </c>
      <c r="I7" s="21">
        <f t="shared" si="1"/>
        <v>-0.41457057002603392</v>
      </c>
      <c r="J7" s="22">
        <f t="shared" si="2"/>
        <v>0.28344064343468034</v>
      </c>
      <c r="K7" s="52" cm="1">
        <f t="array" ref="K7">NestedIF($B$5,K7)</f>
        <v>200726</v>
      </c>
      <c r="L7" s="67">
        <f>IFERROR(E7-K7,0)</f>
        <v>-19929</v>
      </c>
      <c r="M7" s="73"/>
      <c r="N7" s="74"/>
    </row>
    <row r="8" spans="1:14" s="27" customFormat="1" ht="15" customHeight="1" thickBot="1" x14ac:dyDescent="0.35">
      <c r="A8" s="5"/>
      <c r="B8" s="6" t="s">
        <v>7</v>
      </c>
      <c r="C8" s="45" cm="1">
        <f t="array" ref="C8">NestedIF($B$5,C8)</f>
        <v>149576</v>
      </c>
      <c r="D8" s="45" cm="1">
        <f t="array" ref="D8">NestedIF($B$5,D8)</f>
        <v>134092</v>
      </c>
      <c r="E8" s="45" cm="1">
        <f t="array" ref="E8">NestedIF($B$5,E8)</f>
        <v>143862</v>
      </c>
      <c r="F8" s="67">
        <f t="shared" si="3"/>
        <v>-5714</v>
      </c>
      <c r="G8" s="45" cm="1">
        <f t="array" ref="G8">NestedIF($B$5,G8)</f>
        <v>201040</v>
      </c>
      <c r="H8" s="67">
        <f t="shared" si="0"/>
        <v>-57178</v>
      </c>
      <c r="I8" s="21">
        <f t="shared" si="1"/>
        <v>-3.8201315719099349E-2</v>
      </c>
      <c r="J8" s="22">
        <f t="shared" si="2"/>
        <v>-0.28441106247512937</v>
      </c>
      <c r="K8" s="52" cm="1">
        <f t="array" ref="K8">NestedIF($B$5,K8)</f>
        <v>157072</v>
      </c>
      <c r="L8" s="67">
        <f>IFERROR(E8-K8,0)</f>
        <v>-13210</v>
      </c>
      <c r="M8" s="73"/>
      <c r="N8" s="74"/>
    </row>
    <row r="9" spans="1:14" s="27" customFormat="1" ht="5.0999999999999996" customHeight="1" thickBot="1" x14ac:dyDescent="0.35">
      <c r="A9" s="5"/>
      <c r="B9" s="6"/>
      <c r="C9" s="7"/>
      <c r="D9" s="7"/>
      <c r="E9" s="8"/>
      <c r="F9" s="67"/>
      <c r="G9" s="7"/>
      <c r="H9" s="67"/>
      <c r="I9" s="21"/>
      <c r="J9" s="21"/>
      <c r="K9" s="53"/>
      <c r="L9" s="67"/>
      <c r="M9" s="73"/>
      <c r="N9" s="74"/>
    </row>
    <row r="10" spans="1:14" s="27" customFormat="1" ht="15" customHeight="1" thickBot="1" x14ac:dyDescent="0.35">
      <c r="A10" s="5"/>
      <c r="B10" s="6" t="s">
        <v>8</v>
      </c>
      <c r="C10" s="45" cm="1">
        <f t="array" ref="C10">NestedIF($B$5,C10)</f>
        <v>52925</v>
      </c>
      <c r="D10" s="45" cm="1">
        <f t="array" ref="D10">NestedIF($B$5,D10)</f>
        <v>52925</v>
      </c>
      <c r="E10" s="46" cm="1">
        <f t="array" ref="E10">NestedIF($B$5,E10)</f>
        <v>52925</v>
      </c>
      <c r="F10" s="67">
        <f>IFERROR(E10-C10,0)</f>
        <v>0</v>
      </c>
      <c r="G10" s="45" cm="1">
        <f t="array" ref="G10">NestedIF($B$5,G10)</f>
        <v>53070</v>
      </c>
      <c r="H10" s="67">
        <f>IFERROR(E10-G10,0)</f>
        <v>-145</v>
      </c>
      <c r="I10" s="23"/>
      <c r="J10" s="24"/>
      <c r="K10" s="52" cm="1">
        <f t="array" ref="K10">NestedIF($B$5,K10)</f>
        <v>52925</v>
      </c>
      <c r="L10" s="67">
        <f>IFERROR(E10-K10,0)</f>
        <v>0</v>
      </c>
      <c r="M10" s="73"/>
      <c r="N10" s="74"/>
    </row>
    <row r="11" spans="1:14" s="27" customFormat="1" ht="15" customHeight="1" thickBot="1" x14ac:dyDescent="0.35">
      <c r="A11" s="5"/>
      <c r="B11" s="6" t="s">
        <v>9</v>
      </c>
      <c r="C11" s="45" cm="1">
        <f t="array" ref="C11">NestedIF($B$5,C11)</f>
        <v>31059</v>
      </c>
      <c r="D11" s="45" cm="1">
        <f t="array" ref="D11">NestedIF($B$5,D11)</f>
        <v>17851</v>
      </c>
      <c r="E11" s="46" cm="1">
        <f t="array" ref="E11">NestedIF($B$5,E11)</f>
        <v>17981</v>
      </c>
      <c r="F11" s="67">
        <f>IFERROR(E11-C11,0)</f>
        <v>-13078</v>
      </c>
      <c r="G11" s="45" cm="1">
        <f t="array" ref="G11">NestedIF($B$5,G11)</f>
        <v>18658</v>
      </c>
      <c r="H11" s="67">
        <f>IFERROR(E11-G11,0)</f>
        <v>-677</v>
      </c>
      <c r="I11" s="23"/>
      <c r="J11" s="24"/>
      <c r="K11" s="52" cm="1">
        <f t="array" ref="K11">NestedIF($B$5,K11)</f>
        <v>19656</v>
      </c>
      <c r="L11" s="67">
        <f>IFERROR(E11-K11,0)</f>
        <v>-1675</v>
      </c>
      <c r="M11" s="73"/>
      <c r="N11" s="74"/>
    </row>
    <row r="12" spans="1:14" s="38" customFormat="1" ht="15" customHeight="1" thickBot="1" x14ac:dyDescent="0.35">
      <c r="A12" s="9"/>
      <c r="B12" s="10" t="s">
        <v>10</v>
      </c>
      <c r="C12" s="11">
        <f>IFERROR(C11/C10,0)</f>
        <v>0.58684931506849314</v>
      </c>
      <c r="D12" s="11">
        <f>IFERROR(D11/D10,0)</f>
        <v>0.33728861596598964</v>
      </c>
      <c r="E12" s="11">
        <f>IFERROR(E11/E10,0)</f>
        <v>0.33974492205951817</v>
      </c>
      <c r="F12" s="68">
        <f>IFERROR(E12-C12,0)</f>
        <v>-0.24710439300897497</v>
      </c>
      <c r="G12" s="11">
        <f>IFERROR(G11/G10,0)</f>
        <v>0.35157339363105333</v>
      </c>
      <c r="H12" s="68">
        <f>IFERROR(E12-G12,0)</f>
        <v>-1.182847157153516E-2</v>
      </c>
      <c r="I12" s="20">
        <f>IFERROR(E12/C12-1,0)</f>
        <v>-0.42106957725618988</v>
      </c>
      <c r="J12" s="11">
        <f>IFERROR(E12/G12-1,0)</f>
        <v>-3.3644387731877501E-2</v>
      </c>
      <c r="K12" s="12">
        <f>IFERROR(K11/K10,0)</f>
        <v>0.371393481341521</v>
      </c>
      <c r="L12" s="68">
        <f>IFERROR(E12-K12,0)</f>
        <v>-3.1648559282002831E-2</v>
      </c>
      <c r="M12" s="73"/>
      <c r="N12" s="74"/>
    </row>
    <row r="13" spans="1:14" s="27" customFormat="1" ht="5.0999999999999996" customHeight="1" thickBot="1" x14ac:dyDescent="0.35">
      <c r="A13" s="5"/>
      <c r="B13" s="6"/>
      <c r="C13" s="7"/>
      <c r="D13" s="13"/>
      <c r="E13" s="14"/>
      <c r="F13" s="67"/>
      <c r="G13" s="13"/>
      <c r="H13" s="67"/>
      <c r="I13" s="21"/>
      <c r="J13" s="22"/>
      <c r="K13" s="54"/>
      <c r="L13" s="67"/>
      <c r="M13" s="73"/>
      <c r="N13" s="74"/>
    </row>
    <row r="14" spans="1:14" s="27" customFormat="1" ht="15" customHeight="1" thickBot="1" x14ac:dyDescent="0.35">
      <c r="A14" s="5"/>
      <c r="B14" s="6" t="s">
        <v>11</v>
      </c>
      <c r="C14" s="45" cm="1">
        <f t="array" ref="C14">NestedIF($B$5,C14)</f>
        <v>49430</v>
      </c>
      <c r="D14" s="45" cm="1">
        <f t="array" ref="D14">NestedIF($B$5,D14)</f>
        <v>28484</v>
      </c>
      <c r="E14" s="46" cm="1">
        <f t="array" ref="E14">NestedIF($B$5,E14)</f>
        <v>29012</v>
      </c>
      <c r="F14" s="67">
        <f>IFERROR(E14-C14,0)</f>
        <v>-20418</v>
      </c>
      <c r="G14" s="45" cm="1">
        <f t="array" ref="G14">NestedIF($B$5,G14)</f>
        <v>26509</v>
      </c>
      <c r="H14" s="67">
        <f>IFERROR(E14-G14,0)</f>
        <v>2503</v>
      </c>
      <c r="I14" s="21">
        <f>IFERROR(E14/C14-1,0)</f>
        <v>-0.4130689864454784</v>
      </c>
      <c r="J14" s="22">
        <f>IFERROR(E14/G14-1,0)</f>
        <v>9.4420762759817478E-2</v>
      </c>
      <c r="K14" s="52" cm="1">
        <f t="array" ref="K14">NestedIF($B$5,K14)</f>
        <v>31935</v>
      </c>
      <c r="L14" s="67">
        <f>IFERROR(E14-K14,0)</f>
        <v>-2923</v>
      </c>
      <c r="M14" s="73"/>
      <c r="N14" s="74"/>
    </row>
    <row r="15" spans="1:14" s="27" customFormat="1" ht="15" customHeight="1" thickBot="1" x14ac:dyDescent="0.35">
      <c r="A15" s="5"/>
      <c r="B15" s="6" t="s">
        <v>12</v>
      </c>
      <c r="C15" s="15">
        <f>IFERROR(C14/C11,0)</f>
        <v>1.5914871695804758</v>
      </c>
      <c r="D15" s="15">
        <f>IFERROR(D14/D11,0)</f>
        <v>1.5956529045991821</v>
      </c>
      <c r="E15" s="39">
        <f>IFERROR(E14/E11,0)</f>
        <v>1.613480896501863</v>
      </c>
      <c r="F15" s="69">
        <f>IFERROR(E15-C15,0)</f>
        <v>2.1993726921387236E-2</v>
      </c>
      <c r="G15" s="15">
        <f>IFERROR(G14/G11,0)</f>
        <v>1.4207846500160788</v>
      </c>
      <c r="H15" s="69">
        <f>IFERROR(E15-G15,0)</f>
        <v>0.19269624648578421</v>
      </c>
      <c r="I15" s="21"/>
      <c r="J15" s="22"/>
      <c r="K15" s="55">
        <f>IFERROR(K14/K11,0)</f>
        <v>1.6246947496947497</v>
      </c>
      <c r="L15" s="69">
        <f>IFERROR(E15-K15,0)</f>
        <v>-1.1213853192886702E-2</v>
      </c>
      <c r="M15" s="73"/>
      <c r="N15" s="74"/>
    </row>
    <row r="16" spans="1:14" s="27" customFormat="1" ht="5.0999999999999996" customHeight="1" thickBot="1" x14ac:dyDescent="0.35">
      <c r="A16" s="5"/>
      <c r="B16" s="6"/>
      <c r="C16" s="7"/>
      <c r="D16" s="7"/>
      <c r="E16" s="8"/>
      <c r="F16" s="69"/>
      <c r="G16" s="7"/>
      <c r="H16" s="69"/>
      <c r="I16" s="21"/>
      <c r="J16" s="22"/>
      <c r="K16" s="53"/>
      <c r="L16" s="69"/>
      <c r="M16" s="73"/>
      <c r="N16" s="74"/>
    </row>
    <row r="17" spans="1:14" s="27" customFormat="1" ht="15" customHeight="1" thickBot="1" x14ac:dyDescent="0.35">
      <c r="A17" s="5"/>
      <c r="B17" s="6" t="s">
        <v>13</v>
      </c>
      <c r="C17" s="15">
        <f>IFERROR(C6/C11,0)</f>
        <v>96.761389613316595</v>
      </c>
      <c r="D17" s="15">
        <f>IFERROR(D6/D11,0)</f>
        <v>75.371407764270913</v>
      </c>
      <c r="E17" s="39">
        <f>IFERROR(E6/E11,0)</f>
        <v>75.250931538846558</v>
      </c>
      <c r="F17" s="69">
        <f>IFERROR(E17-C17,0)</f>
        <v>-21.510458074470037</v>
      </c>
      <c r="G17" s="15">
        <f>IFERROR(G6/G11,0)</f>
        <v>73.144174080823234</v>
      </c>
      <c r="H17" s="69">
        <f>IFERROR(E17-G17,0)</f>
        <v>2.1067574580233241</v>
      </c>
      <c r="I17" s="20">
        <f>IFERROR(E17/C17-1,0)</f>
        <v>-0.22230414590397429</v>
      </c>
      <c r="J17" s="11">
        <f>IFERROR(E17/G17-1,0)</f>
        <v>2.880280602656593E-2</v>
      </c>
      <c r="K17" s="55">
        <f>IFERROR(K6/K11,0)</f>
        <v>76.322039072039075</v>
      </c>
      <c r="L17" s="69">
        <f>IFERROR(E17-K17,0)</f>
        <v>-1.0711075331925173</v>
      </c>
      <c r="M17" s="73"/>
      <c r="N17" s="74"/>
    </row>
    <row r="18" spans="1:14" s="38" customFormat="1" ht="15" customHeight="1" thickBot="1" x14ac:dyDescent="0.35">
      <c r="A18" s="9"/>
      <c r="B18" s="10" t="s">
        <v>14</v>
      </c>
      <c r="C18" s="16">
        <f>IFERROR(C6/C10,0)</f>
        <v>56.78435521965045</v>
      </c>
      <c r="D18" s="16">
        <f>IFERROR(D6/D10,0)</f>
        <v>25.421917808219177</v>
      </c>
      <c r="E18" s="40">
        <f>IFERROR(E6/E10,0)</f>
        <v>25.566121870571564</v>
      </c>
      <c r="F18" s="70">
        <f t="shared" ref="F18:F19" si="4">IFERROR(E18-C18,0)</f>
        <v>-31.218233349078886</v>
      </c>
      <c r="G18" s="16">
        <f>IFERROR(G6/G10,0)</f>
        <v>25.715545505935555</v>
      </c>
      <c r="H18" s="70">
        <f t="shared" ref="H18:H19" si="5">IFERROR(E18-G18,0)</f>
        <v>-0.14942363536399128</v>
      </c>
      <c r="I18" s="20">
        <f>IFERROR(E18/C18-1,0)</f>
        <v>-0.54976821042207935</v>
      </c>
      <c r="J18" s="11">
        <f>IFERROR(E18/G18-1,0)</f>
        <v>-5.8106344790352926E-3</v>
      </c>
      <c r="K18" s="56">
        <f>IFERROR(K6/K10,0)</f>
        <v>28.345507794048181</v>
      </c>
      <c r="L18" s="70">
        <f>IFERROR(E18-K18,0)</f>
        <v>-2.7793859234766174</v>
      </c>
      <c r="M18" s="73"/>
      <c r="N18" s="74"/>
    </row>
    <row r="19" spans="1:14" ht="15" customHeight="1" thickBot="1" x14ac:dyDescent="0.35">
      <c r="A19" s="17"/>
      <c r="B19" s="18" t="s">
        <v>34</v>
      </c>
      <c r="C19" s="19">
        <f>IFERROR(C5/C11,0)</f>
        <v>111.52052545155993</v>
      </c>
      <c r="D19" s="19">
        <f>IFERROR(D5/D11,0)</f>
        <v>91.877653912946059</v>
      </c>
      <c r="E19" s="19">
        <f>IFERROR(E5/E11,0)</f>
        <v>93.306601412602191</v>
      </c>
      <c r="F19" s="69">
        <f t="shared" si="4"/>
        <v>-18.213924038957742</v>
      </c>
      <c r="G19" s="19">
        <f>IFERROR(G5/G11,0)</f>
        <v>91.469235716582702</v>
      </c>
      <c r="H19" s="69">
        <f t="shared" si="5"/>
        <v>1.8373656960194893</v>
      </c>
      <c r="I19" s="41">
        <f>IFERROR(E19/C19-1,0)</f>
        <v>-0.16332351345375562</v>
      </c>
      <c r="J19" s="42">
        <f>IFERROR(E19/G19-1,0)</f>
        <v>2.0087253179993381E-2</v>
      </c>
      <c r="K19" s="57">
        <f>IFERROR(K5/K11,0)</f>
        <v>94.52503052503053</v>
      </c>
      <c r="L19" s="69">
        <f>IFERROR(E19-K19,0)</f>
        <v>-1.2184291124283391</v>
      </c>
      <c r="M19" s="73"/>
      <c r="N19" s="74"/>
    </row>
    <row r="20" spans="1:14" s="27" customFormat="1" ht="15" customHeight="1" thickBot="1" x14ac:dyDescent="0.35">
      <c r="A20" s="1"/>
      <c r="B20" s="2" t="s">
        <v>21</v>
      </c>
      <c r="C20" s="3">
        <f>SUM(C21:C23)</f>
        <v>0</v>
      </c>
      <c r="D20" s="3">
        <f>SUM(D21:D23)</f>
        <v>2259.66</v>
      </c>
      <c r="E20" s="4">
        <f>SUM(E21:E23)</f>
        <v>2259.66</v>
      </c>
      <c r="F20" s="71">
        <f>IFERROR(SUM(F21:F23),0)</f>
        <v>2259.66</v>
      </c>
      <c r="G20" s="3">
        <f>SUM(G21:G23)</f>
        <v>294081.78000000003</v>
      </c>
      <c r="H20" s="71">
        <f>IFERROR(E20-G20,0)</f>
        <v>-291822.12000000005</v>
      </c>
      <c r="I20" s="20">
        <f>IFERROR(E20/C20-1,0)</f>
        <v>0</v>
      </c>
      <c r="J20" s="11">
        <f>IFERROR(E20/G20-1,0)</f>
        <v>-0.99231621897827194</v>
      </c>
      <c r="K20" s="51">
        <f>SUM(K21:K23)</f>
        <v>2259.66</v>
      </c>
      <c r="L20" s="71">
        <f>IFERROR(SUM(L21:L23),0)</f>
        <v>0</v>
      </c>
      <c r="M20" s="73"/>
      <c r="N20" s="74"/>
    </row>
    <row r="21" spans="1:14" s="27" customFormat="1" ht="15" customHeight="1" thickBot="1" x14ac:dyDescent="0.35">
      <c r="A21" s="5"/>
      <c r="B21" s="6" t="s">
        <v>5</v>
      </c>
      <c r="C21" s="45">
        <v>0</v>
      </c>
      <c r="D21" s="45">
        <v>0</v>
      </c>
      <c r="E21" s="45">
        <v>0</v>
      </c>
      <c r="F21" s="67">
        <f>IFERROR(E21-C21,0)</f>
        <v>0</v>
      </c>
      <c r="G21" s="45">
        <v>244986.75</v>
      </c>
      <c r="H21" s="67">
        <f t="shared" ref="H21:H23" si="6">IFERROR(E21-G21,0)</f>
        <v>-244986.75</v>
      </c>
      <c r="I21" s="21">
        <f t="shared" ref="I21:I23" si="7">IFERROR(E21/C21-1,0)</f>
        <v>0</v>
      </c>
      <c r="J21" s="22">
        <f t="shared" ref="J21:J23" si="8">IFERROR(E21/G21-1,0)</f>
        <v>-1</v>
      </c>
      <c r="K21" s="52">
        <v>0</v>
      </c>
      <c r="L21" s="67">
        <f>IFERROR(E21-K21,0)</f>
        <v>0</v>
      </c>
      <c r="M21" s="73"/>
      <c r="N21" s="74"/>
    </row>
    <row r="22" spans="1:14" s="27" customFormat="1" ht="15" customHeight="1" thickBot="1" x14ac:dyDescent="0.35">
      <c r="A22" s="5"/>
      <c r="B22" s="6" t="s">
        <v>6</v>
      </c>
      <c r="C22" s="45">
        <v>0</v>
      </c>
      <c r="D22" s="45">
        <v>0</v>
      </c>
      <c r="E22" s="45">
        <v>0</v>
      </c>
      <c r="F22" s="67">
        <f t="shared" ref="F22:F23" si="9">IFERROR(E22-C22,0)</f>
        <v>0</v>
      </c>
      <c r="G22" s="45">
        <v>32562</v>
      </c>
      <c r="H22" s="67">
        <f t="shared" si="6"/>
        <v>-32562</v>
      </c>
      <c r="I22" s="21">
        <f t="shared" si="7"/>
        <v>0</v>
      </c>
      <c r="J22" s="22">
        <f t="shared" si="8"/>
        <v>-1</v>
      </c>
      <c r="K22" s="52">
        <v>0</v>
      </c>
      <c r="L22" s="67">
        <f>IFERROR(E22-K22,0)</f>
        <v>0</v>
      </c>
      <c r="M22" s="73"/>
      <c r="N22" s="74"/>
    </row>
    <row r="23" spans="1:14" s="27" customFormat="1" ht="15" customHeight="1" thickBot="1" x14ac:dyDescent="0.35">
      <c r="A23" s="5"/>
      <c r="B23" s="6" t="s">
        <v>7</v>
      </c>
      <c r="C23" s="45">
        <v>0</v>
      </c>
      <c r="D23" s="45">
        <v>2259.66</v>
      </c>
      <c r="E23" s="45">
        <v>2259.66</v>
      </c>
      <c r="F23" s="67">
        <f t="shared" si="9"/>
        <v>2259.66</v>
      </c>
      <c r="G23" s="45">
        <v>16533.03</v>
      </c>
      <c r="H23" s="67">
        <f t="shared" si="6"/>
        <v>-14273.369999999999</v>
      </c>
      <c r="I23" s="21">
        <f t="shared" si="7"/>
        <v>0</v>
      </c>
      <c r="J23" s="22">
        <f t="shared" si="8"/>
        <v>-0.86332450857465326</v>
      </c>
      <c r="K23" s="52">
        <v>2259.66</v>
      </c>
      <c r="L23" s="67">
        <f>IFERROR(E23-K23,0)</f>
        <v>0</v>
      </c>
      <c r="M23" s="73"/>
      <c r="N23" s="74"/>
    </row>
    <row r="24" spans="1:14" s="27" customFormat="1" ht="5.0999999999999996" customHeight="1" thickBot="1" x14ac:dyDescent="0.35">
      <c r="A24" s="5"/>
      <c r="B24" s="6"/>
      <c r="C24" s="7"/>
      <c r="D24" s="7"/>
      <c r="E24" s="8"/>
      <c r="F24" s="67"/>
      <c r="G24" s="7"/>
      <c r="H24" s="67"/>
      <c r="I24" s="21"/>
      <c r="J24" s="21"/>
      <c r="K24" s="53"/>
      <c r="L24" s="67"/>
      <c r="M24" s="73"/>
      <c r="N24" s="74"/>
    </row>
    <row r="25" spans="1:14" s="27" customFormat="1" ht="15" customHeight="1" thickBot="1" x14ac:dyDescent="0.35">
      <c r="A25" s="5"/>
      <c r="B25" s="6" t="s">
        <v>8</v>
      </c>
      <c r="C25" s="45">
        <v>4495</v>
      </c>
      <c r="D25" s="45">
        <v>4495</v>
      </c>
      <c r="E25" s="46">
        <v>4495</v>
      </c>
      <c r="F25" s="67">
        <f>IFERROR(E25-C25,0)</f>
        <v>0</v>
      </c>
      <c r="G25" s="45">
        <v>4495</v>
      </c>
      <c r="H25" s="67">
        <f>IFERROR(E25-G25,0)</f>
        <v>0</v>
      </c>
      <c r="I25" s="23"/>
      <c r="J25" s="24"/>
      <c r="K25" s="52">
        <v>4495</v>
      </c>
      <c r="L25" s="67">
        <f>IFERROR(E25-K25,0)</f>
        <v>0</v>
      </c>
      <c r="M25" s="73"/>
      <c r="N25" s="74"/>
    </row>
    <row r="26" spans="1:14" s="27" customFormat="1" ht="15" customHeight="1" thickBot="1" x14ac:dyDescent="0.35">
      <c r="A26" s="5"/>
      <c r="B26" s="6" t="s">
        <v>9</v>
      </c>
      <c r="C26" s="45">
        <v>0</v>
      </c>
      <c r="D26" s="45">
        <v>0</v>
      </c>
      <c r="E26" s="46">
        <v>0</v>
      </c>
      <c r="F26" s="67">
        <f>IFERROR(E26-C26,0)</f>
        <v>0</v>
      </c>
      <c r="G26" s="45">
        <v>3430</v>
      </c>
      <c r="H26" s="67">
        <f>IFERROR(E26-G26,0)</f>
        <v>-3430</v>
      </c>
      <c r="I26" s="23"/>
      <c r="J26" s="24"/>
      <c r="K26" s="52">
        <v>0</v>
      </c>
      <c r="L26" s="67">
        <f>IFERROR(E26-K26,0)</f>
        <v>0</v>
      </c>
      <c r="M26" s="73"/>
      <c r="N26" s="74"/>
    </row>
    <row r="27" spans="1:14" s="38" customFormat="1" ht="15" customHeight="1" thickBot="1" x14ac:dyDescent="0.35">
      <c r="A27" s="9"/>
      <c r="B27" s="10" t="s">
        <v>10</v>
      </c>
      <c r="C27" s="11">
        <f>IFERROR(C26/C25,0)</f>
        <v>0</v>
      </c>
      <c r="D27" s="11">
        <f>IFERROR(D26/D25,0)</f>
        <v>0</v>
      </c>
      <c r="E27" s="11">
        <f>IFERROR(E26/E25,0)</f>
        <v>0</v>
      </c>
      <c r="F27" s="68">
        <f>IFERROR(E27-C27,0)</f>
        <v>0</v>
      </c>
      <c r="G27" s="11">
        <f>IFERROR(G26/G25,0)</f>
        <v>0.76307007786429371</v>
      </c>
      <c r="H27" s="68">
        <f>IFERROR(E27-G27,0)</f>
        <v>-0.76307007786429371</v>
      </c>
      <c r="I27" s="20">
        <f>IFERROR(E27/C27-1,0)</f>
        <v>0</v>
      </c>
      <c r="J27" s="11">
        <f>IFERROR(E27/G27-1,0)</f>
        <v>-1</v>
      </c>
      <c r="K27" s="12">
        <f>IFERROR(K26/K25,0)</f>
        <v>0</v>
      </c>
      <c r="L27" s="68">
        <f>IFERROR(E27-K27,0)</f>
        <v>0</v>
      </c>
      <c r="M27" s="73"/>
      <c r="N27" s="74"/>
    </row>
    <row r="28" spans="1:14" s="27" customFormat="1" ht="5.0999999999999996" customHeight="1" thickBot="1" x14ac:dyDescent="0.35">
      <c r="A28" s="5"/>
      <c r="B28" s="6"/>
      <c r="C28" s="7"/>
      <c r="D28" s="13"/>
      <c r="E28" s="14"/>
      <c r="F28" s="67"/>
      <c r="G28" s="13"/>
      <c r="H28" s="67"/>
      <c r="I28" s="21"/>
      <c r="J28" s="22"/>
      <c r="K28" s="54"/>
      <c r="L28" s="67"/>
      <c r="M28" s="73"/>
      <c r="N28" s="74"/>
    </row>
    <row r="29" spans="1:14" s="27" customFormat="1" ht="15" customHeight="1" thickBot="1" x14ac:dyDescent="0.35">
      <c r="A29" s="5"/>
      <c r="B29" s="6" t="s">
        <v>11</v>
      </c>
      <c r="C29" s="45">
        <v>0</v>
      </c>
      <c r="D29" s="45">
        <v>0</v>
      </c>
      <c r="E29" s="46">
        <v>0</v>
      </c>
      <c r="F29" s="67">
        <f>IFERROR(E29-C29,0)</f>
        <v>0</v>
      </c>
      <c r="G29" s="45">
        <v>5154</v>
      </c>
      <c r="H29" s="67">
        <f>IFERROR(E29-G29,0)</f>
        <v>-5154</v>
      </c>
      <c r="I29" s="21"/>
      <c r="J29" s="22"/>
      <c r="K29" s="52">
        <v>0</v>
      </c>
      <c r="L29" s="67">
        <f>IFERROR(E29-K29,0)</f>
        <v>0</v>
      </c>
      <c r="M29" s="73"/>
      <c r="N29" s="74"/>
    </row>
    <row r="30" spans="1:14" s="27" customFormat="1" ht="15" customHeight="1" thickBot="1" x14ac:dyDescent="0.35">
      <c r="A30" s="5"/>
      <c r="B30" s="6" t="s">
        <v>12</v>
      </c>
      <c r="C30" s="15">
        <f>IFERROR(C29/C26,0)</f>
        <v>0</v>
      </c>
      <c r="D30" s="15">
        <f>IFERROR(D29/D26,0)</f>
        <v>0</v>
      </c>
      <c r="E30" s="15">
        <f>IFERROR(E29/E26,0)</f>
        <v>0</v>
      </c>
      <c r="F30" s="69">
        <f>IFERROR(E30-C30,0)</f>
        <v>0</v>
      </c>
      <c r="G30" s="15">
        <f>IFERROR(G29/G26,0)</f>
        <v>1.5026239067055394</v>
      </c>
      <c r="H30" s="69">
        <f>IFERROR(E30-G30,0)</f>
        <v>-1.5026239067055394</v>
      </c>
      <c r="I30" s="21"/>
      <c r="J30" s="22"/>
      <c r="K30" s="55">
        <f>IFERROR(K29/K26,0)</f>
        <v>0</v>
      </c>
      <c r="L30" s="69">
        <f>IFERROR(E30-K30,0)</f>
        <v>0</v>
      </c>
      <c r="M30" s="73"/>
      <c r="N30" s="74"/>
    </row>
    <row r="31" spans="1:14" s="27" customFormat="1" ht="5.0999999999999996" customHeight="1" thickBot="1" x14ac:dyDescent="0.35">
      <c r="A31" s="5"/>
      <c r="B31" s="6"/>
      <c r="C31" s="7"/>
      <c r="D31" s="13"/>
      <c r="E31" s="14"/>
      <c r="F31" s="69"/>
      <c r="G31" s="13"/>
      <c r="H31" s="69"/>
      <c r="I31" s="21"/>
      <c r="J31" s="22"/>
      <c r="K31" s="54"/>
      <c r="L31" s="69"/>
      <c r="M31" s="73"/>
      <c r="N31" s="74"/>
    </row>
    <row r="32" spans="1:14" s="27" customFormat="1" ht="15" customHeight="1" thickBot="1" x14ac:dyDescent="0.35">
      <c r="A32" s="5"/>
      <c r="B32" s="6" t="s">
        <v>13</v>
      </c>
      <c r="C32" s="15">
        <f>IFERROR(C21/C26,0)</f>
        <v>0</v>
      </c>
      <c r="D32" s="15">
        <f>IFERROR(D21/D26,0)</f>
        <v>0</v>
      </c>
      <c r="E32" s="15">
        <f>IFERROR(E21/E26,0)</f>
        <v>0</v>
      </c>
      <c r="F32" s="69">
        <f>IFERROR(E32-C32,0)</f>
        <v>0</v>
      </c>
      <c r="G32" s="15">
        <f>IFERROR(G21/G26,0)</f>
        <v>71.424708454810499</v>
      </c>
      <c r="H32" s="69">
        <f>IFERROR(E32-G32,0)</f>
        <v>-71.424708454810499</v>
      </c>
      <c r="I32" s="21">
        <f>IFERROR(E32/C32-1,0)</f>
        <v>0</v>
      </c>
      <c r="J32" s="22">
        <f>IFERROR(E32/G32-1,0)</f>
        <v>-1</v>
      </c>
      <c r="K32" s="55">
        <f>IFERROR(K21/K26,0)</f>
        <v>0</v>
      </c>
      <c r="L32" s="69">
        <f>IFERROR(E32-K32,0)</f>
        <v>0</v>
      </c>
      <c r="M32" s="73"/>
      <c r="N32" s="74"/>
    </row>
    <row r="33" spans="1:14" s="38" customFormat="1" ht="15" customHeight="1" thickBot="1" x14ac:dyDescent="0.35">
      <c r="A33" s="9"/>
      <c r="B33" s="10" t="s">
        <v>14</v>
      </c>
      <c r="C33" s="16">
        <f>IFERROR(C21/C25,0)</f>
        <v>0</v>
      </c>
      <c r="D33" s="16">
        <f>IFERROR(D21/D25,0)</f>
        <v>0</v>
      </c>
      <c r="E33" s="16">
        <f>IFERROR(E21/E25,0)</f>
        <v>0</v>
      </c>
      <c r="F33" s="70">
        <f t="shared" ref="F33:F34" si="10">IFERROR(E33-C33,0)</f>
        <v>0</v>
      </c>
      <c r="G33" s="16">
        <f>IFERROR(G21/G25,0)</f>
        <v>54.502057842046717</v>
      </c>
      <c r="H33" s="70">
        <f t="shared" ref="H33:H34" si="11">IFERROR(E33-G33,0)</f>
        <v>-54.502057842046717</v>
      </c>
      <c r="I33" s="20">
        <f>IFERROR(E33/C33-1,0)</f>
        <v>0</v>
      </c>
      <c r="J33" s="11">
        <f>IFERROR(E33/G33-1,0)</f>
        <v>-1</v>
      </c>
      <c r="K33" s="56">
        <f>IFERROR(K21/K25,0)</f>
        <v>0</v>
      </c>
      <c r="L33" s="70">
        <f>IFERROR(E33-K33,0)</f>
        <v>0</v>
      </c>
      <c r="M33" s="73"/>
      <c r="N33" s="74"/>
    </row>
    <row r="34" spans="1:14" ht="15" customHeight="1" thickBot="1" x14ac:dyDescent="0.35">
      <c r="A34" s="17"/>
      <c r="B34" s="18" t="s">
        <v>34</v>
      </c>
      <c r="C34" s="19">
        <f>IFERROR(C20/C26,0)</f>
        <v>0</v>
      </c>
      <c r="D34" s="19">
        <f>IFERROR(D20/D26,0)</f>
        <v>0</v>
      </c>
      <c r="E34" s="19">
        <f>IFERROR(E20/E26,0)</f>
        <v>0</v>
      </c>
      <c r="F34" s="72">
        <f t="shared" si="10"/>
        <v>0</v>
      </c>
      <c r="G34" s="19">
        <f>IFERROR(G20/G26,0)</f>
        <v>85.738128279883384</v>
      </c>
      <c r="H34" s="72">
        <f t="shared" si="11"/>
        <v>-85.738128279883384</v>
      </c>
      <c r="I34" s="25">
        <f>IFERROR(E34/C34-1,0)</f>
        <v>0</v>
      </c>
      <c r="J34" s="26">
        <f>IFERROR(E34/G34-1,0)</f>
        <v>-1</v>
      </c>
      <c r="K34" s="57">
        <f>IFERROR(K20/K26,0)</f>
        <v>0</v>
      </c>
      <c r="L34" s="72">
        <f>IFERROR(E34-K34,0)</f>
        <v>0</v>
      </c>
      <c r="M34" s="73"/>
      <c r="N34" s="74"/>
    </row>
    <row r="35" spans="1:14" s="27" customFormat="1" ht="15" customHeight="1" thickBot="1" x14ac:dyDescent="0.35">
      <c r="A35" s="1"/>
      <c r="B35" s="2" t="s">
        <v>22</v>
      </c>
      <c r="C35" s="3">
        <f>SUM(C36:C38)</f>
        <v>0</v>
      </c>
      <c r="D35" s="3">
        <f>SUM(D36:D38)</f>
        <v>2183.11</v>
      </c>
      <c r="E35" s="4">
        <f>SUM(E36:E38)</f>
        <v>2183.11</v>
      </c>
      <c r="F35" s="71">
        <f>IFERROR(SUM(F36:F38),0)</f>
        <v>2183.11</v>
      </c>
      <c r="G35" s="3">
        <f>SUM(G36:G38)</f>
        <v>343769.66000000003</v>
      </c>
      <c r="H35" s="71">
        <f>IFERROR(E35-G35,0)</f>
        <v>-341586.55000000005</v>
      </c>
      <c r="I35" s="20">
        <f>IFERROR(E35/C35-1,0)</f>
        <v>0</v>
      </c>
      <c r="J35" s="11">
        <f>IFERROR(E35/G35-1,0)</f>
        <v>-0.99364949774799793</v>
      </c>
      <c r="K35" s="51">
        <f>SUM(K36:K38)</f>
        <v>2183.11</v>
      </c>
      <c r="L35" s="71">
        <f>IFERROR(SUM(L36:L38),0)</f>
        <v>0</v>
      </c>
      <c r="M35" s="73"/>
      <c r="N35" s="74"/>
    </row>
    <row r="36" spans="1:14" s="27" customFormat="1" ht="15" customHeight="1" thickBot="1" x14ac:dyDescent="0.35">
      <c r="A36" s="5"/>
      <c r="B36" s="6" t="s">
        <v>5</v>
      </c>
      <c r="C36" s="45">
        <v>0</v>
      </c>
      <c r="D36" s="45">
        <v>-92.52</v>
      </c>
      <c r="E36" s="45">
        <v>-92.52</v>
      </c>
      <c r="F36" s="67">
        <f>IFERROR(E36-C36,0)</f>
        <v>-92.52</v>
      </c>
      <c r="G36" s="45">
        <v>294785.65000000002</v>
      </c>
      <c r="H36" s="67">
        <f t="shared" ref="H36:H38" si="12">IFERROR(E36-G36,0)</f>
        <v>-294878.17000000004</v>
      </c>
      <c r="I36" s="21">
        <f t="shared" ref="I36:I38" si="13">IFERROR(E36/C36-1,0)</f>
        <v>0</v>
      </c>
      <c r="J36" s="22">
        <f t="shared" ref="J36:J38" si="14">IFERROR(E36/G36-1,0)</f>
        <v>-1.0003138551690016</v>
      </c>
      <c r="K36" s="52">
        <v>-92.52</v>
      </c>
      <c r="L36" s="67">
        <f>IFERROR(E36-K36,0)</f>
        <v>0</v>
      </c>
      <c r="M36" s="73"/>
      <c r="N36" s="74"/>
    </row>
    <row r="37" spans="1:14" s="27" customFormat="1" ht="15" customHeight="1" thickBot="1" x14ac:dyDescent="0.35">
      <c r="A37" s="5"/>
      <c r="B37" s="6" t="s">
        <v>6</v>
      </c>
      <c r="C37" s="45">
        <v>0</v>
      </c>
      <c r="D37" s="45">
        <v>0</v>
      </c>
      <c r="E37" s="45">
        <v>0</v>
      </c>
      <c r="F37" s="67">
        <f t="shared" ref="F37:F38" si="15">IFERROR(E37-C37,0)</f>
        <v>0</v>
      </c>
      <c r="G37" s="45">
        <v>32902.880000000012</v>
      </c>
      <c r="H37" s="67">
        <f t="shared" si="12"/>
        <v>-32902.880000000012</v>
      </c>
      <c r="I37" s="21">
        <f t="shared" si="13"/>
        <v>0</v>
      </c>
      <c r="J37" s="22">
        <f t="shared" si="14"/>
        <v>-1</v>
      </c>
      <c r="K37" s="52">
        <v>0</v>
      </c>
      <c r="L37" s="67">
        <f>IFERROR(E37-K37,0)</f>
        <v>0</v>
      </c>
      <c r="M37" s="73"/>
      <c r="N37" s="74"/>
    </row>
    <row r="38" spans="1:14" s="27" customFormat="1" ht="15" customHeight="1" thickBot="1" x14ac:dyDescent="0.35">
      <c r="A38" s="5"/>
      <c r="B38" s="6" t="s">
        <v>7</v>
      </c>
      <c r="C38" s="45">
        <v>0</v>
      </c>
      <c r="D38" s="45">
        <v>2275.63</v>
      </c>
      <c r="E38" s="45">
        <v>2275.63</v>
      </c>
      <c r="F38" s="67">
        <f t="shared" si="15"/>
        <v>2275.63</v>
      </c>
      <c r="G38" s="45">
        <v>16081.13</v>
      </c>
      <c r="H38" s="67">
        <f t="shared" si="12"/>
        <v>-13805.5</v>
      </c>
      <c r="I38" s="21">
        <f t="shared" si="13"/>
        <v>0</v>
      </c>
      <c r="J38" s="22">
        <f t="shared" si="14"/>
        <v>-0.85849066576789068</v>
      </c>
      <c r="K38" s="52">
        <v>2275.63</v>
      </c>
      <c r="L38" s="67">
        <f>IFERROR(E38-K38,0)</f>
        <v>0</v>
      </c>
      <c r="M38" s="73"/>
      <c r="N38" s="74"/>
    </row>
    <row r="39" spans="1:14" s="27" customFormat="1" ht="5.0999999999999996" customHeight="1" thickBot="1" x14ac:dyDescent="0.35">
      <c r="A39" s="5"/>
      <c r="B39" s="6"/>
      <c r="C39" s="7"/>
      <c r="D39" s="7"/>
      <c r="E39" s="8"/>
      <c r="F39" s="67"/>
      <c r="G39" s="7"/>
      <c r="H39" s="67"/>
      <c r="I39" s="21"/>
      <c r="J39" s="21"/>
      <c r="K39" s="53"/>
      <c r="L39" s="67"/>
      <c r="M39" s="73"/>
      <c r="N39" s="74"/>
    </row>
    <row r="40" spans="1:14" s="27" customFormat="1" ht="15" customHeight="1" thickBot="1" x14ac:dyDescent="0.35">
      <c r="A40" s="5"/>
      <c r="B40" s="6" t="s">
        <v>8</v>
      </c>
      <c r="C40" s="45">
        <v>4060</v>
      </c>
      <c r="D40" s="45">
        <v>4060</v>
      </c>
      <c r="E40" s="46">
        <v>4060</v>
      </c>
      <c r="F40" s="67">
        <f>IFERROR(E40-C40,0)</f>
        <v>0</v>
      </c>
      <c r="G40" s="45">
        <v>4205</v>
      </c>
      <c r="H40" s="67">
        <f>IFERROR(E40-G40,0)</f>
        <v>-145</v>
      </c>
      <c r="I40" s="23"/>
      <c r="J40" s="24"/>
      <c r="K40" s="52">
        <v>4060</v>
      </c>
      <c r="L40" s="67">
        <f>IFERROR(E40-K40,0)</f>
        <v>0</v>
      </c>
      <c r="M40" s="73"/>
      <c r="N40" s="74"/>
    </row>
    <row r="41" spans="1:14" s="27" customFormat="1" ht="15" customHeight="1" thickBot="1" x14ac:dyDescent="0.35">
      <c r="A41" s="5"/>
      <c r="B41" s="6" t="s">
        <v>9</v>
      </c>
      <c r="C41" s="45">
        <v>0</v>
      </c>
      <c r="D41" s="45">
        <v>0</v>
      </c>
      <c r="E41" s="46">
        <v>0</v>
      </c>
      <c r="F41" s="67">
        <f>IFERROR(E41-C41,0)</f>
        <v>0</v>
      </c>
      <c r="G41" s="45">
        <v>3535</v>
      </c>
      <c r="H41" s="67">
        <f>IFERROR(E41-G41,0)</f>
        <v>-3535</v>
      </c>
      <c r="I41" s="23"/>
      <c r="J41" s="24"/>
      <c r="K41" s="52">
        <v>0</v>
      </c>
      <c r="L41" s="67">
        <f>IFERROR(E41-K41,0)</f>
        <v>0</v>
      </c>
      <c r="M41" s="73"/>
      <c r="N41" s="74"/>
    </row>
    <row r="42" spans="1:14" s="38" customFormat="1" ht="15" customHeight="1" thickBot="1" x14ac:dyDescent="0.35">
      <c r="A42" s="9"/>
      <c r="B42" s="10" t="s">
        <v>10</v>
      </c>
      <c r="C42" s="11">
        <f>IFERROR(C41/C40,0)</f>
        <v>0</v>
      </c>
      <c r="D42" s="11">
        <f>IFERROR(D41/D40,0)</f>
        <v>0</v>
      </c>
      <c r="E42" s="11">
        <f>IFERROR(E41/E40,0)</f>
        <v>0</v>
      </c>
      <c r="F42" s="68">
        <f>IFERROR(E42-C42,0)</f>
        <v>0</v>
      </c>
      <c r="G42" s="11">
        <f>IFERROR(G41/G40,0)</f>
        <v>0.84066587395957193</v>
      </c>
      <c r="H42" s="68">
        <f>IFERROR(E42-G42,0)</f>
        <v>-0.84066587395957193</v>
      </c>
      <c r="I42" s="20">
        <f>IFERROR(E42/C42-1,0)</f>
        <v>0</v>
      </c>
      <c r="J42" s="11">
        <f>IFERROR(E42/G42-1,0)</f>
        <v>-1</v>
      </c>
      <c r="K42" s="12">
        <f>IFERROR(K41/K40,0)</f>
        <v>0</v>
      </c>
      <c r="L42" s="68">
        <f>IFERROR(E42-K42,0)</f>
        <v>0</v>
      </c>
      <c r="M42" s="73"/>
      <c r="N42" s="74"/>
    </row>
    <row r="43" spans="1:14" s="27" customFormat="1" ht="5.0999999999999996" customHeight="1" thickBot="1" x14ac:dyDescent="0.35">
      <c r="A43" s="5"/>
      <c r="B43" s="6"/>
      <c r="C43" s="7"/>
      <c r="D43" s="13"/>
      <c r="E43" s="14"/>
      <c r="F43" s="67"/>
      <c r="G43" s="13"/>
      <c r="H43" s="67"/>
      <c r="I43" s="21"/>
      <c r="J43" s="22"/>
      <c r="K43" s="54"/>
      <c r="L43" s="67"/>
      <c r="M43" s="73"/>
      <c r="N43" s="74"/>
    </row>
    <row r="44" spans="1:14" s="27" customFormat="1" ht="15" customHeight="1" thickBot="1" x14ac:dyDescent="0.35">
      <c r="A44" s="5"/>
      <c r="B44" s="6" t="s">
        <v>11</v>
      </c>
      <c r="C44" s="45">
        <v>0</v>
      </c>
      <c r="D44" s="45">
        <v>0</v>
      </c>
      <c r="E44" s="46">
        <v>0</v>
      </c>
      <c r="F44" s="67">
        <f>IFERROR(E44-C44,0)</f>
        <v>0</v>
      </c>
      <c r="G44" s="45">
        <v>5184</v>
      </c>
      <c r="H44" s="67">
        <f>IFERROR(E44-G44,0)</f>
        <v>-5184</v>
      </c>
      <c r="I44" s="21"/>
      <c r="J44" s="22"/>
      <c r="K44" s="52">
        <v>0</v>
      </c>
      <c r="L44" s="67">
        <f>IFERROR(E44-K44,0)</f>
        <v>0</v>
      </c>
      <c r="M44" s="73"/>
      <c r="N44" s="74"/>
    </row>
    <row r="45" spans="1:14" s="27" customFormat="1" ht="15" customHeight="1" thickBot="1" x14ac:dyDescent="0.35">
      <c r="A45" s="5"/>
      <c r="B45" s="6" t="s">
        <v>12</v>
      </c>
      <c r="C45" s="15">
        <f>IFERROR(C44/C41,0)</f>
        <v>0</v>
      </c>
      <c r="D45" s="15">
        <f>IFERROR(D44/D41,0)</f>
        <v>0</v>
      </c>
      <c r="E45" s="15">
        <f>IFERROR(E44/E41,0)</f>
        <v>0</v>
      </c>
      <c r="F45" s="69">
        <f>IFERROR(E45-C45,0)</f>
        <v>0</v>
      </c>
      <c r="G45" s="15">
        <f>IFERROR(G44/G41,0)</f>
        <v>1.4664780763790666</v>
      </c>
      <c r="H45" s="69">
        <f>IFERROR(E45-G45,0)</f>
        <v>-1.4664780763790666</v>
      </c>
      <c r="I45" s="21"/>
      <c r="J45" s="22"/>
      <c r="K45" s="55">
        <f>IFERROR(K44/K41,0)</f>
        <v>0</v>
      </c>
      <c r="L45" s="69">
        <f>IFERROR(E45-K45,0)</f>
        <v>0</v>
      </c>
      <c r="M45" s="73"/>
      <c r="N45" s="74"/>
    </row>
    <row r="46" spans="1:14" s="27" customFormat="1" ht="5.0999999999999996" customHeight="1" thickBot="1" x14ac:dyDescent="0.35">
      <c r="A46" s="5"/>
      <c r="B46" s="6"/>
      <c r="C46" s="7"/>
      <c r="D46" s="13"/>
      <c r="E46" s="14"/>
      <c r="F46" s="69"/>
      <c r="G46" s="13"/>
      <c r="H46" s="69"/>
      <c r="I46" s="21"/>
      <c r="J46" s="22"/>
      <c r="K46" s="54"/>
      <c r="L46" s="69"/>
      <c r="M46" s="73"/>
      <c r="N46" s="74"/>
    </row>
    <row r="47" spans="1:14" s="27" customFormat="1" ht="15" customHeight="1" thickBot="1" x14ac:dyDescent="0.35">
      <c r="A47" s="5"/>
      <c r="B47" s="6" t="s">
        <v>13</v>
      </c>
      <c r="C47" s="15">
        <f>IFERROR(C36/C41,0)</f>
        <v>0</v>
      </c>
      <c r="D47" s="15">
        <f>IFERROR(D36/D41,0)</f>
        <v>0</v>
      </c>
      <c r="E47" s="15">
        <f>IFERROR(E36/E41,0)</f>
        <v>0</v>
      </c>
      <c r="F47" s="69">
        <f>IFERROR(E47-C47,0)</f>
        <v>0</v>
      </c>
      <c r="G47" s="15">
        <f>IFERROR(G36/G41,0)</f>
        <v>83.390565770862807</v>
      </c>
      <c r="H47" s="69">
        <f>IFERROR(E47-G47,0)</f>
        <v>-83.390565770862807</v>
      </c>
      <c r="I47" s="21">
        <f>IFERROR(E47/C47-1,0)</f>
        <v>0</v>
      </c>
      <c r="J47" s="22">
        <f>IFERROR(E47/G47-1,0)</f>
        <v>-1</v>
      </c>
      <c r="K47" s="55">
        <f>IFERROR(K36/K41,0)</f>
        <v>0</v>
      </c>
      <c r="L47" s="69">
        <f>IFERROR(E47-K47,0)</f>
        <v>0</v>
      </c>
      <c r="M47" s="73"/>
      <c r="N47" s="74"/>
    </row>
    <row r="48" spans="1:14" s="38" customFormat="1" ht="15" customHeight="1" thickBot="1" x14ac:dyDescent="0.35">
      <c r="A48" s="9"/>
      <c r="B48" s="10" t="s">
        <v>14</v>
      </c>
      <c r="C48" s="16">
        <f>IFERROR(C36/C40,0)</f>
        <v>0</v>
      </c>
      <c r="D48" s="16">
        <f>IFERROR(D36/D40,0)</f>
        <v>-2.2788177339901478E-2</v>
      </c>
      <c r="E48" s="16">
        <f>IFERROR(E36/E40,0)</f>
        <v>-2.2788177339901478E-2</v>
      </c>
      <c r="F48" s="70">
        <f t="shared" ref="F48:F49" si="16">IFERROR(E48-C48,0)</f>
        <v>-2.2788177339901478E-2</v>
      </c>
      <c r="G48" s="16">
        <f>IFERROR(G36/G40,0)</f>
        <v>70.103602853745542</v>
      </c>
      <c r="H48" s="70">
        <f t="shared" ref="H48:H49" si="17">IFERROR(E48-G48,0)</f>
        <v>-70.126391031085447</v>
      </c>
      <c r="I48" s="20">
        <f>IFERROR(E48/C48-1,0)</f>
        <v>0</v>
      </c>
      <c r="J48" s="11">
        <f>IFERROR(E48/G48-1,0)</f>
        <v>-1.0003250642821802</v>
      </c>
      <c r="K48" s="56">
        <f>IFERROR(K36/K40,0)</f>
        <v>-2.2788177339901478E-2</v>
      </c>
      <c r="L48" s="70">
        <f>IFERROR(E48-K48,0)</f>
        <v>0</v>
      </c>
      <c r="M48" s="73"/>
      <c r="N48" s="74"/>
    </row>
    <row r="49" spans="1:14" ht="15" customHeight="1" thickBot="1" x14ac:dyDescent="0.35">
      <c r="A49" s="17"/>
      <c r="B49" s="18" t="s">
        <v>34</v>
      </c>
      <c r="C49" s="19">
        <f>IFERROR(C35/C41,0)</f>
        <v>0</v>
      </c>
      <c r="D49" s="19">
        <f>IFERROR(D35/D41,0)</f>
        <v>0</v>
      </c>
      <c r="E49" s="19">
        <f>IFERROR(E35/E41,0)</f>
        <v>0</v>
      </c>
      <c r="F49" s="72">
        <f t="shared" si="16"/>
        <v>0</v>
      </c>
      <c r="G49" s="19">
        <f>IFERROR(G35/G41,0)</f>
        <v>97.247428571428586</v>
      </c>
      <c r="H49" s="72">
        <f t="shared" si="17"/>
        <v>-97.247428571428586</v>
      </c>
      <c r="I49" s="25">
        <f>IFERROR(E49/C49-1,0)</f>
        <v>0</v>
      </c>
      <c r="J49" s="26">
        <f>IFERROR(E49/G49-1,0)</f>
        <v>-1</v>
      </c>
      <c r="K49" s="57">
        <f>IFERROR(K35/K41,0)</f>
        <v>0</v>
      </c>
      <c r="L49" s="72">
        <f>IFERROR(E49-K49,0)</f>
        <v>0</v>
      </c>
      <c r="M49" s="73"/>
      <c r="N49" s="74"/>
    </row>
    <row r="50" spans="1:14" s="27" customFormat="1" ht="15" customHeight="1" thickBot="1" x14ac:dyDescent="0.35">
      <c r="A50" s="1"/>
      <c r="B50" s="2" t="s">
        <v>23</v>
      </c>
      <c r="C50" s="3">
        <f>SUM(C51:C53)</f>
        <v>0</v>
      </c>
      <c r="D50" s="3">
        <f>SUM(D51:D53)</f>
        <v>2306.7199999999998</v>
      </c>
      <c r="E50" s="4">
        <f>SUM(E51:E53)</f>
        <v>2306.7199999999998</v>
      </c>
      <c r="F50" s="71">
        <f>IFERROR(SUM(F51:F53),0)</f>
        <v>2306.7199999999998</v>
      </c>
      <c r="G50" s="3">
        <f>SUM(G51:G53)</f>
        <v>193407.53</v>
      </c>
      <c r="H50" s="71">
        <f>IFERROR(E50-G50,0)</f>
        <v>-191100.81</v>
      </c>
      <c r="I50" s="20">
        <f>IFERROR(E50/C50-1,0)</f>
        <v>0</v>
      </c>
      <c r="J50" s="11">
        <f>IFERROR(E50/G50-1,0)</f>
        <v>-0.98807326684746966</v>
      </c>
      <c r="K50" s="51">
        <f>SUM(K51:K53)</f>
        <v>2306.7200000000012</v>
      </c>
      <c r="L50" s="71">
        <f>IFERROR(SUM(L51:L53),0)</f>
        <v>-1.3642420526593924E-12</v>
      </c>
      <c r="M50" s="73"/>
      <c r="N50" s="74"/>
    </row>
    <row r="51" spans="1:14" s="27" customFormat="1" ht="15" customHeight="1" thickBot="1" x14ac:dyDescent="0.35">
      <c r="A51" s="5"/>
      <c r="B51" s="6" t="s">
        <v>5</v>
      </c>
      <c r="C51" s="45">
        <v>0</v>
      </c>
      <c r="D51" s="45">
        <v>0</v>
      </c>
      <c r="E51" s="45">
        <v>0</v>
      </c>
      <c r="F51" s="67">
        <f>IFERROR(E51-C51,0)</f>
        <v>0</v>
      </c>
      <c r="G51" s="45">
        <v>126191.96</v>
      </c>
      <c r="H51" s="67">
        <f t="shared" ref="H51:H53" si="18">IFERROR(E51-G51,0)</f>
        <v>-126191.96</v>
      </c>
      <c r="I51" s="21">
        <f t="shared" ref="I51:I53" si="19">IFERROR(E51/C51-1,0)</f>
        <v>0</v>
      </c>
      <c r="J51" s="22">
        <f t="shared" ref="J51:J53" si="20">IFERROR(E51/G51-1,0)</f>
        <v>-1</v>
      </c>
      <c r="K51" s="52">
        <v>0</v>
      </c>
      <c r="L51" s="67">
        <f>IFERROR(E51-K51,0)</f>
        <v>0</v>
      </c>
      <c r="M51" s="73"/>
      <c r="N51" s="74"/>
    </row>
    <row r="52" spans="1:14" s="27" customFormat="1" ht="15" customHeight="1" thickBot="1" x14ac:dyDescent="0.35">
      <c r="A52" s="5"/>
      <c r="B52" s="6" t="s">
        <v>6</v>
      </c>
      <c r="C52" s="45">
        <v>0</v>
      </c>
      <c r="D52" s="45">
        <v>0</v>
      </c>
      <c r="E52" s="45">
        <v>0</v>
      </c>
      <c r="F52" s="67">
        <f t="shared" ref="F52:F53" si="21">IFERROR(E52-C52,0)</f>
        <v>0</v>
      </c>
      <c r="G52" s="45">
        <v>12616.07</v>
      </c>
      <c r="H52" s="67">
        <f t="shared" si="18"/>
        <v>-12616.07</v>
      </c>
      <c r="I52" s="21">
        <f t="shared" si="19"/>
        <v>0</v>
      </c>
      <c r="J52" s="22">
        <f t="shared" si="20"/>
        <v>-1</v>
      </c>
      <c r="K52" s="52">
        <v>0</v>
      </c>
      <c r="L52" s="67">
        <f>IFERROR(E52-K52,0)</f>
        <v>0</v>
      </c>
      <c r="M52" s="73"/>
      <c r="N52" s="74"/>
    </row>
    <row r="53" spans="1:14" s="27" customFormat="1" ht="15" customHeight="1" thickBot="1" x14ac:dyDescent="0.35">
      <c r="A53" s="5"/>
      <c r="B53" s="6" t="s">
        <v>7</v>
      </c>
      <c r="C53" s="45">
        <v>0</v>
      </c>
      <c r="D53" s="45">
        <v>2306.7199999999998</v>
      </c>
      <c r="E53" s="45">
        <v>2306.7199999999998</v>
      </c>
      <c r="F53" s="67">
        <f t="shared" si="21"/>
        <v>2306.7199999999998</v>
      </c>
      <c r="G53" s="45">
        <v>54599.5</v>
      </c>
      <c r="H53" s="67">
        <f t="shared" si="18"/>
        <v>-52292.78</v>
      </c>
      <c r="I53" s="21">
        <f t="shared" si="19"/>
        <v>0</v>
      </c>
      <c r="J53" s="22">
        <f t="shared" si="20"/>
        <v>-0.95775199406587974</v>
      </c>
      <c r="K53" s="52">
        <v>2306.7200000000012</v>
      </c>
      <c r="L53" s="67">
        <f>IFERROR(E53-K53,0)</f>
        <v>-1.3642420526593924E-12</v>
      </c>
      <c r="M53" s="73"/>
      <c r="N53" s="74"/>
    </row>
    <row r="54" spans="1:14" s="27" customFormat="1" ht="5.0999999999999996" customHeight="1" thickBot="1" x14ac:dyDescent="0.35">
      <c r="A54" s="5"/>
      <c r="B54" s="6"/>
      <c r="C54" s="7"/>
      <c r="D54" s="7"/>
      <c r="E54" s="8"/>
      <c r="F54" s="67"/>
      <c r="G54" s="7"/>
      <c r="H54" s="67"/>
      <c r="I54" s="21"/>
      <c r="J54" s="21"/>
      <c r="K54" s="53"/>
      <c r="L54" s="67"/>
      <c r="M54" s="73"/>
      <c r="N54" s="74"/>
    </row>
    <row r="55" spans="1:14" s="27" customFormat="1" ht="15" customHeight="1" thickBot="1" x14ac:dyDescent="0.35">
      <c r="A55" s="5"/>
      <c r="B55" s="6" t="s">
        <v>8</v>
      </c>
      <c r="C55" s="45">
        <v>4495</v>
      </c>
      <c r="D55" s="45">
        <v>4495</v>
      </c>
      <c r="E55" s="46">
        <v>4495</v>
      </c>
      <c r="F55" s="67">
        <f>IFERROR(E55-C55,0)</f>
        <v>0</v>
      </c>
      <c r="G55" s="45">
        <v>4495</v>
      </c>
      <c r="H55" s="67">
        <f>IFERROR(E55-G55,0)</f>
        <v>0</v>
      </c>
      <c r="I55" s="23"/>
      <c r="J55" s="24"/>
      <c r="K55" s="52">
        <v>4495</v>
      </c>
      <c r="L55" s="67">
        <f>IFERROR(E55-K55,0)</f>
        <v>0</v>
      </c>
      <c r="M55" s="73"/>
      <c r="N55" s="74"/>
    </row>
    <row r="56" spans="1:14" s="27" customFormat="1" ht="15" customHeight="1" thickBot="1" x14ac:dyDescent="0.35">
      <c r="A56" s="5"/>
      <c r="B56" s="6" t="s">
        <v>9</v>
      </c>
      <c r="C56" s="45">
        <v>0</v>
      </c>
      <c r="D56" s="45">
        <v>0</v>
      </c>
      <c r="E56" s="46">
        <v>0</v>
      </c>
      <c r="F56" s="67">
        <f>IFERROR(E56-C56,0)</f>
        <v>0</v>
      </c>
      <c r="G56" s="45">
        <v>1445</v>
      </c>
      <c r="H56" s="67">
        <f>IFERROR(E56-G56,0)</f>
        <v>-1445</v>
      </c>
      <c r="I56" s="23"/>
      <c r="J56" s="24"/>
      <c r="K56" s="52">
        <v>0</v>
      </c>
      <c r="L56" s="67">
        <f>IFERROR(E56-K56,0)</f>
        <v>0</v>
      </c>
      <c r="M56" s="73"/>
      <c r="N56" s="74"/>
    </row>
    <row r="57" spans="1:14" s="38" customFormat="1" ht="15" customHeight="1" thickBot="1" x14ac:dyDescent="0.35">
      <c r="A57" s="9"/>
      <c r="B57" s="10" t="s">
        <v>10</v>
      </c>
      <c r="C57" s="11">
        <f>IFERROR(C56/C55,0)</f>
        <v>0</v>
      </c>
      <c r="D57" s="11">
        <f>IFERROR(D56/D55,0)</f>
        <v>0</v>
      </c>
      <c r="E57" s="11">
        <f>IFERROR(E56/E55,0)</f>
        <v>0</v>
      </c>
      <c r="F57" s="68">
        <f>IFERROR(E57-C57,0)</f>
        <v>0</v>
      </c>
      <c r="G57" s="11">
        <f>IFERROR(G56/G55,0)</f>
        <v>0.32146829810901001</v>
      </c>
      <c r="H57" s="68">
        <f>IFERROR(E57-G57,0)</f>
        <v>-0.32146829810901001</v>
      </c>
      <c r="I57" s="20">
        <f>IFERROR(E57/C57-1,0)</f>
        <v>0</v>
      </c>
      <c r="J57" s="11">
        <f>IFERROR(E57/G57-1,0)</f>
        <v>-1</v>
      </c>
      <c r="K57" s="12">
        <f>IFERROR(K56/K55,0)</f>
        <v>0</v>
      </c>
      <c r="L57" s="68">
        <f>IFERROR(E57-K57,0)</f>
        <v>0</v>
      </c>
      <c r="M57" s="73"/>
      <c r="N57" s="74"/>
    </row>
    <row r="58" spans="1:14" s="27" customFormat="1" ht="5.0999999999999996" customHeight="1" thickBot="1" x14ac:dyDescent="0.35">
      <c r="A58" s="5"/>
      <c r="B58" s="6"/>
      <c r="C58" s="7"/>
      <c r="D58" s="13"/>
      <c r="E58" s="14"/>
      <c r="F58" s="67"/>
      <c r="G58" s="13"/>
      <c r="H58" s="67"/>
      <c r="I58" s="21"/>
      <c r="J58" s="22"/>
      <c r="K58" s="54"/>
      <c r="L58" s="67"/>
      <c r="M58" s="73"/>
      <c r="N58" s="74"/>
    </row>
    <row r="59" spans="1:14" s="27" customFormat="1" ht="15" customHeight="1" thickBot="1" x14ac:dyDescent="0.35">
      <c r="A59" s="5"/>
      <c r="B59" s="6" t="s">
        <v>11</v>
      </c>
      <c r="C59" s="45">
        <v>0</v>
      </c>
      <c r="D59" s="45">
        <v>0</v>
      </c>
      <c r="E59" s="46">
        <v>0</v>
      </c>
      <c r="F59" s="67">
        <f>IFERROR(E59-C59,0)</f>
        <v>0</v>
      </c>
      <c r="G59" s="45">
        <v>1978</v>
      </c>
      <c r="H59" s="67">
        <f>IFERROR(E59-G59,0)</f>
        <v>-1978</v>
      </c>
      <c r="I59" s="21"/>
      <c r="J59" s="22"/>
      <c r="K59" s="52">
        <v>0</v>
      </c>
      <c r="L59" s="67">
        <f>IFERROR(E59-K59,0)</f>
        <v>0</v>
      </c>
      <c r="M59" s="73"/>
      <c r="N59" s="74"/>
    </row>
    <row r="60" spans="1:14" s="27" customFormat="1" ht="15" customHeight="1" thickBot="1" x14ac:dyDescent="0.35">
      <c r="A60" s="5"/>
      <c r="B60" s="6" t="s">
        <v>12</v>
      </c>
      <c r="C60" s="15">
        <f>IFERROR(C59/C56,0)</f>
        <v>0</v>
      </c>
      <c r="D60" s="15">
        <f>IFERROR(D59/D56,0)</f>
        <v>0</v>
      </c>
      <c r="E60" s="15">
        <f>IFERROR(E59/E56,0)</f>
        <v>0</v>
      </c>
      <c r="F60" s="69">
        <f>IFERROR(E60-C60,0)</f>
        <v>0</v>
      </c>
      <c r="G60" s="15">
        <f>IFERROR(G59/G56,0)</f>
        <v>1.3688581314878894</v>
      </c>
      <c r="H60" s="69">
        <f>IFERROR(E60-G60,0)</f>
        <v>-1.3688581314878894</v>
      </c>
      <c r="I60" s="21"/>
      <c r="J60" s="22"/>
      <c r="K60" s="55">
        <f>IFERROR(K59/K56,0)</f>
        <v>0</v>
      </c>
      <c r="L60" s="69">
        <f>IFERROR(E60-K60,0)</f>
        <v>0</v>
      </c>
      <c r="M60" s="73"/>
      <c r="N60" s="74"/>
    </row>
    <row r="61" spans="1:14" s="27" customFormat="1" ht="5.0999999999999996" customHeight="1" thickBot="1" x14ac:dyDescent="0.35">
      <c r="A61" s="5"/>
      <c r="B61" s="6"/>
      <c r="C61" s="7"/>
      <c r="D61" s="13"/>
      <c r="E61" s="14"/>
      <c r="F61" s="69"/>
      <c r="G61" s="13"/>
      <c r="H61" s="69"/>
      <c r="I61" s="21"/>
      <c r="J61" s="22"/>
      <c r="K61" s="54"/>
      <c r="L61" s="69"/>
      <c r="M61" s="73"/>
      <c r="N61" s="74"/>
    </row>
    <row r="62" spans="1:14" s="27" customFormat="1" ht="15" customHeight="1" thickBot="1" x14ac:dyDescent="0.35">
      <c r="A62" s="5"/>
      <c r="B62" s="6" t="s">
        <v>13</v>
      </c>
      <c r="C62" s="15">
        <f>IFERROR(C51/C56,0)</f>
        <v>0</v>
      </c>
      <c r="D62" s="15">
        <f>IFERROR(D51/D56,0)</f>
        <v>0</v>
      </c>
      <c r="E62" s="15">
        <f>IFERROR(E51/E56,0)</f>
        <v>0</v>
      </c>
      <c r="F62" s="69">
        <f>IFERROR(E62-C62,0)</f>
        <v>0</v>
      </c>
      <c r="G62" s="15">
        <f>IFERROR(G51/G56,0)</f>
        <v>87.330076124567483</v>
      </c>
      <c r="H62" s="69">
        <f>IFERROR(E62-G62,0)</f>
        <v>-87.330076124567483</v>
      </c>
      <c r="I62" s="21">
        <f>IFERROR(E62/C62-1,0)</f>
        <v>0</v>
      </c>
      <c r="J62" s="22">
        <f>IFERROR(E62/G62-1,0)</f>
        <v>-1</v>
      </c>
      <c r="K62" s="55">
        <f>IFERROR(K51/K56,0)</f>
        <v>0</v>
      </c>
      <c r="L62" s="69">
        <f>IFERROR(E62-K62,0)</f>
        <v>0</v>
      </c>
      <c r="M62" s="73"/>
      <c r="N62" s="74"/>
    </row>
    <row r="63" spans="1:14" s="38" customFormat="1" ht="15" customHeight="1" thickBot="1" x14ac:dyDescent="0.35">
      <c r="A63" s="9"/>
      <c r="B63" s="10" t="s">
        <v>14</v>
      </c>
      <c r="C63" s="16">
        <f>IFERROR(C51/C55,0)</f>
        <v>0</v>
      </c>
      <c r="D63" s="16">
        <f>IFERROR(D51/D55,0)</f>
        <v>0</v>
      </c>
      <c r="E63" s="16">
        <f>IFERROR(E51/E55,0)</f>
        <v>0</v>
      </c>
      <c r="F63" s="70">
        <f t="shared" ref="F63:F64" si="22">IFERROR(E63-C63,0)</f>
        <v>0</v>
      </c>
      <c r="G63" s="16">
        <f>IFERROR(G51/G55,0)</f>
        <v>28.073850945494996</v>
      </c>
      <c r="H63" s="70">
        <f t="shared" ref="H63:H64" si="23">IFERROR(E63-G63,0)</f>
        <v>-28.073850945494996</v>
      </c>
      <c r="I63" s="20">
        <f>IFERROR(E63/C63-1,0)</f>
        <v>0</v>
      </c>
      <c r="J63" s="11">
        <f>IFERROR(E63/G63-1,0)</f>
        <v>-1</v>
      </c>
      <c r="K63" s="56">
        <f>IFERROR(K51/K55,0)</f>
        <v>0</v>
      </c>
      <c r="L63" s="70">
        <f>IFERROR(E63-K63,0)</f>
        <v>0</v>
      </c>
      <c r="M63" s="73"/>
      <c r="N63" s="74"/>
    </row>
    <row r="64" spans="1:14" ht="15" customHeight="1" thickBot="1" x14ac:dyDescent="0.35">
      <c r="A64" s="17"/>
      <c r="B64" s="18" t="s">
        <v>34</v>
      </c>
      <c r="C64" s="19">
        <f>IFERROR(C50/C56,0)</f>
        <v>0</v>
      </c>
      <c r="D64" s="19">
        <f>IFERROR(D50/D56,0)</f>
        <v>0</v>
      </c>
      <c r="E64" s="19">
        <f>IFERROR(E50/E56,0)</f>
        <v>0</v>
      </c>
      <c r="F64" s="72">
        <f t="shared" si="22"/>
        <v>0</v>
      </c>
      <c r="G64" s="19">
        <f>IFERROR(G50/G56,0)</f>
        <v>133.84604152249136</v>
      </c>
      <c r="H64" s="72">
        <f t="shared" si="23"/>
        <v>-133.84604152249136</v>
      </c>
      <c r="I64" s="25">
        <f>IFERROR(E64/C64-1,0)</f>
        <v>0</v>
      </c>
      <c r="J64" s="26">
        <f>IFERROR(E64/G64-1,0)</f>
        <v>-1</v>
      </c>
      <c r="K64" s="57">
        <f>IFERROR(K50/K56,0)</f>
        <v>0</v>
      </c>
      <c r="L64" s="72">
        <f>IFERROR(E64-K64,0)</f>
        <v>0</v>
      </c>
      <c r="M64" s="73"/>
      <c r="N64" s="74"/>
    </row>
    <row r="65" spans="1:14" s="27" customFormat="1" ht="15" customHeight="1" thickBot="1" x14ac:dyDescent="0.35">
      <c r="A65" s="1"/>
      <c r="B65" s="2" t="s">
        <v>24</v>
      </c>
      <c r="C65" s="3">
        <f>SUM(C66:C68)</f>
        <v>330376.62711091351</v>
      </c>
      <c r="D65" s="3">
        <f>SUM(D66:D68)</f>
        <v>2371.09</v>
      </c>
      <c r="E65" s="4">
        <f>SUM(E66:E68)</f>
        <v>2371.09</v>
      </c>
      <c r="F65" s="71">
        <f>IFERROR(SUM(F66:F68),0)</f>
        <v>-328005.53711091354</v>
      </c>
      <c r="G65" s="3">
        <f>SUM(G66:G68)</f>
        <v>67211.64</v>
      </c>
      <c r="H65" s="71">
        <f>IFERROR(E65-G65,0)</f>
        <v>-64840.55</v>
      </c>
      <c r="I65" s="20">
        <f>IFERROR(E65/C65-1,0)</f>
        <v>-0.99282306977725765</v>
      </c>
      <c r="J65" s="11">
        <f>IFERROR(E65/G65-1,0)</f>
        <v>-0.96472203326685679</v>
      </c>
      <c r="K65" s="51">
        <f>SUM(K66:K68)</f>
        <v>2371.0900000000011</v>
      </c>
      <c r="L65" s="71">
        <f>IFERROR(SUM(L66:L68),0)</f>
        <v>-9.0949470177292824E-13</v>
      </c>
      <c r="M65" s="73"/>
      <c r="N65" s="74"/>
    </row>
    <row r="66" spans="1:14" s="27" customFormat="1" ht="15" customHeight="1" thickBot="1" x14ac:dyDescent="0.35">
      <c r="A66" s="5"/>
      <c r="B66" s="6" t="s">
        <v>5</v>
      </c>
      <c r="C66" s="45">
        <v>284013.632850233</v>
      </c>
      <c r="D66" s="45">
        <v>-3.27</v>
      </c>
      <c r="E66" s="45">
        <v>-3.27</v>
      </c>
      <c r="F66" s="67">
        <f>IFERROR(E66-C66,0)</f>
        <v>-284016.90285023302</v>
      </c>
      <c r="G66" s="45">
        <v>56470.14</v>
      </c>
      <c r="H66" s="67">
        <f t="shared" ref="H66:H68" si="24">IFERROR(E66-G66,0)</f>
        <v>-56473.409999999996</v>
      </c>
      <c r="I66" s="21">
        <f t="shared" ref="I66:I68" si="25">IFERROR(E66/C66-1,0)</f>
        <v>-1.000011513531823</v>
      </c>
      <c r="J66" s="22">
        <f t="shared" ref="J66:J68" si="26">IFERROR(E66/G66-1,0)</f>
        <v>-1.0000579067096345</v>
      </c>
      <c r="K66" s="52">
        <v>-3.27</v>
      </c>
      <c r="L66" s="67">
        <f>IFERROR(E66-K66,0)</f>
        <v>0</v>
      </c>
      <c r="M66" s="73"/>
      <c r="N66" s="74"/>
    </row>
    <row r="67" spans="1:14" s="27" customFormat="1" ht="15" customHeight="1" thickBot="1" x14ac:dyDescent="0.35">
      <c r="A67" s="5"/>
      <c r="B67" s="6" t="s">
        <v>6</v>
      </c>
      <c r="C67" s="45">
        <v>32445.095493954999</v>
      </c>
      <c r="D67" s="45">
        <v>0</v>
      </c>
      <c r="E67" s="45">
        <v>0</v>
      </c>
      <c r="F67" s="67">
        <f t="shared" ref="F67:F68" si="27">IFERROR(E67-C67,0)</f>
        <v>-32445.095493954999</v>
      </c>
      <c r="G67" s="45">
        <v>2687.9</v>
      </c>
      <c r="H67" s="67">
        <f t="shared" si="24"/>
        <v>-2687.9</v>
      </c>
      <c r="I67" s="21">
        <f t="shared" si="25"/>
        <v>-1</v>
      </c>
      <c r="J67" s="22">
        <f t="shared" si="26"/>
        <v>-1</v>
      </c>
      <c r="K67" s="52">
        <v>0</v>
      </c>
      <c r="L67" s="67">
        <f>IFERROR(E67-K67,0)</f>
        <v>0</v>
      </c>
      <c r="M67" s="73"/>
      <c r="N67" s="74"/>
    </row>
    <row r="68" spans="1:14" s="27" customFormat="1" ht="15" customHeight="1" thickBot="1" x14ac:dyDescent="0.35">
      <c r="A68" s="5"/>
      <c r="B68" s="6" t="s">
        <v>7</v>
      </c>
      <c r="C68" s="45">
        <v>13917.898766725521</v>
      </c>
      <c r="D68" s="45">
        <v>2374.36</v>
      </c>
      <c r="E68" s="45">
        <v>2374.36</v>
      </c>
      <c r="F68" s="67">
        <f t="shared" si="27"/>
        <v>-11543.53876672552</v>
      </c>
      <c r="G68" s="45">
        <v>8053.6</v>
      </c>
      <c r="H68" s="67">
        <f t="shared" si="24"/>
        <v>-5679.24</v>
      </c>
      <c r="I68" s="21">
        <f t="shared" si="25"/>
        <v>-0.82940240909952978</v>
      </c>
      <c r="J68" s="22">
        <f t="shared" si="26"/>
        <v>-0.7051802920433099</v>
      </c>
      <c r="K68" s="52">
        <v>2374.360000000001</v>
      </c>
      <c r="L68" s="67">
        <f>IFERROR(E68-K68,0)</f>
        <v>-9.0949470177292824E-13</v>
      </c>
      <c r="M68" s="73"/>
      <c r="N68" s="74"/>
    </row>
    <row r="69" spans="1:14" s="27" customFormat="1" ht="5.0999999999999996" customHeight="1" thickBot="1" x14ac:dyDescent="0.35">
      <c r="A69" s="5"/>
      <c r="B69" s="6"/>
      <c r="C69" s="7"/>
      <c r="D69" s="7"/>
      <c r="E69" s="8"/>
      <c r="F69" s="67"/>
      <c r="G69" s="7"/>
      <c r="H69" s="67"/>
      <c r="I69" s="21"/>
      <c r="J69" s="21"/>
      <c r="K69" s="53"/>
      <c r="L69" s="67"/>
      <c r="M69" s="73"/>
      <c r="N69" s="74"/>
    </row>
    <row r="70" spans="1:14" s="27" customFormat="1" ht="15" customHeight="1" thickBot="1" x14ac:dyDescent="0.35">
      <c r="A70" s="5"/>
      <c r="B70" s="6" t="s">
        <v>8</v>
      </c>
      <c r="C70" s="45">
        <v>4350</v>
      </c>
      <c r="D70" s="45">
        <v>4350</v>
      </c>
      <c r="E70" s="46">
        <v>4350</v>
      </c>
      <c r="F70" s="67">
        <f>IFERROR(E70-C70,0)</f>
        <v>0</v>
      </c>
      <c r="G70" s="45">
        <v>4350</v>
      </c>
      <c r="H70" s="67">
        <f>IFERROR(E70-G70,0)</f>
        <v>0</v>
      </c>
      <c r="I70" s="23"/>
      <c r="J70" s="24"/>
      <c r="K70" s="52">
        <v>4350</v>
      </c>
      <c r="L70" s="67">
        <f>IFERROR(E70-K70,0)</f>
        <v>0</v>
      </c>
      <c r="M70" s="73"/>
      <c r="N70" s="74"/>
    </row>
    <row r="71" spans="1:14" s="27" customFormat="1" ht="15" customHeight="1" thickBot="1" x14ac:dyDescent="0.35">
      <c r="A71" s="5"/>
      <c r="B71" s="6" t="s">
        <v>9</v>
      </c>
      <c r="C71" s="45">
        <v>3061</v>
      </c>
      <c r="D71" s="45">
        <v>0</v>
      </c>
      <c r="E71" s="46">
        <v>0</v>
      </c>
      <c r="F71" s="67">
        <f>IFERROR(E71-C71,0)</f>
        <v>-3061</v>
      </c>
      <c r="G71" s="45">
        <v>881</v>
      </c>
      <c r="H71" s="67">
        <f>IFERROR(E71-G71,0)</f>
        <v>-881</v>
      </c>
      <c r="I71" s="23"/>
      <c r="J71" s="24"/>
      <c r="K71" s="52">
        <v>0</v>
      </c>
      <c r="L71" s="67">
        <f>IFERROR(E71-K71,0)</f>
        <v>0</v>
      </c>
      <c r="M71" s="73"/>
      <c r="N71" s="74"/>
    </row>
    <row r="72" spans="1:14" s="38" customFormat="1" ht="15" customHeight="1" thickBot="1" x14ac:dyDescent="0.35">
      <c r="A72" s="9"/>
      <c r="B72" s="10" t="s">
        <v>10</v>
      </c>
      <c r="C72" s="11">
        <f>IFERROR(C71/C70,0)</f>
        <v>0.70367816091954027</v>
      </c>
      <c r="D72" s="11">
        <f>IFERROR(D71/D70,0)</f>
        <v>0</v>
      </c>
      <c r="E72" s="11">
        <f>IFERROR(E71/E70,0)</f>
        <v>0</v>
      </c>
      <c r="F72" s="68">
        <f>IFERROR(E72-C72,0)</f>
        <v>-0.70367816091954027</v>
      </c>
      <c r="G72" s="11">
        <f>IFERROR(G71/G70,0)</f>
        <v>0.2025287356321839</v>
      </c>
      <c r="H72" s="68">
        <f>IFERROR(E72-G72,0)</f>
        <v>-0.2025287356321839</v>
      </c>
      <c r="I72" s="20">
        <f>IFERROR(E72/C72-1,0)</f>
        <v>-1</v>
      </c>
      <c r="J72" s="11">
        <f>IFERROR(E72/G72-1,0)</f>
        <v>-1</v>
      </c>
      <c r="K72" s="12">
        <f>IFERROR(K71/K70,0)</f>
        <v>0</v>
      </c>
      <c r="L72" s="68">
        <f>IFERROR(E72-K72,0)</f>
        <v>0</v>
      </c>
      <c r="M72" s="73"/>
      <c r="N72" s="74"/>
    </row>
    <row r="73" spans="1:14" s="27" customFormat="1" ht="5.0999999999999996" customHeight="1" thickBot="1" x14ac:dyDescent="0.35">
      <c r="A73" s="5"/>
      <c r="B73" s="6"/>
      <c r="C73" s="7"/>
      <c r="D73" s="13"/>
      <c r="E73" s="14"/>
      <c r="F73" s="67"/>
      <c r="G73" s="13"/>
      <c r="H73" s="67"/>
      <c r="I73" s="21"/>
      <c r="J73" s="22"/>
      <c r="K73" s="54"/>
      <c r="L73" s="67"/>
      <c r="M73" s="73"/>
      <c r="N73" s="74"/>
    </row>
    <row r="74" spans="1:14" s="27" customFormat="1" ht="15" customHeight="1" thickBot="1" x14ac:dyDescent="0.35">
      <c r="A74" s="5"/>
      <c r="B74" s="6" t="s">
        <v>11</v>
      </c>
      <c r="C74" s="45">
        <v>4797.8599999999997</v>
      </c>
      <c r="D74" s="45">
        <v>0</v>
      </c>
      <c r="E74" s="46">
        <v>0</v>
      </c>
      <c r="F74" s="67">
        <f>IFERROR(E74-C74,0)</f>
        <v>-4797.8599999999997</v>
      </c>
      <c r="G74" s="45">
        <v>912</v>
      </c>
      <c r="H74" s="67">
        <f>IFERROR(E74-G74,0)</f>
        <v>-912</v>
      </c>
      <c r="I74" s="21"/>
      <c r="J74" s="22"/>
      <c r="K74" s="52">
        <v>0</v>
      </c>
      <c r="L74" s="67">
        <f>IFERROR(E74-K74,0)</f>
        <v>0</v>
      </c>
      <c r="M74" s="73"/>
      <c r="N74" s="74"/>
    </row>
    <row r="75" spans="1:14" s="27" customFormat="1" ht="15" customHeight="1" thickBot="1" x14ac:dyDescent="0.35">
      <c r="A75" s="5"/>
      <c r="B75" s="6" t="s">
        <v>12</v>
      </c>
      <c r="C75" s="15">
        <f>IFERROR(C74/C71,0)</f>
        <v>1.5674158771643252</v>
      </c>
      <c r="D75" s="15">
        <f>IFERROR(D74/D71,0)</f>
        <v>0</v>
      </c>
      <c r="E75" s="15">
        <f>IFERROR(E74/E71,0)</f>
        <v>0</v>
      </c>
      <c r="F75" s="69">
        <f>IFERROR(E75-C75,0)</f>
        <v>-1.5674158771643252</v>
      </c>
      <c r="G75" s="15">
        <f>IFERROR(G74/G71,0)</f>
        <v>1.0351872871736663</v>
      </c>
      <c r="H75" s="69">
        <f>IFERROR(E75-G75,0)</f>
        <v>-1.0351872871736663</v>
      </c>
      <c r="I75" s="21"/>
      <c r="J75" s="22"/>
      <c r="K75" s="55">
        <f>IFERROR(K74/K71,0)</f>
        <v>0</v>
      </c>
      <c r="L75" s="69">
        <f>IFERROR(E75-K75,0)</f>
        <v>0</v>
      </c>
      <c r="M75" s="73"/>
      <c r="N75" s="74"/>
    </row>
    <row r="76" spans="1:14" s="27" customFormat="1" ht="5.0999999999999996" customHeight="1" thickBot="1" x14ac:dyDescent="0.35">
      <c r="A76" s="5"/>
      <c r="B76" s="6"/>
      <c r="C76" s="7"/>
      <c r="D76" s="13"/>
      <c r="E76" s="14"/>
      <c r="F76" s="69"/>
      <c r="G76" s="13"/>
      <c r="H76" s="69"/>
      <c r="I76" s="21"/>
      <c r="J76" s="22"/>
      <c r="K76" s="54"/>
      <c r="L76" s="69"/>
      <c r="M76" s="73"/>
      <c r="N76" s="74"/>
    </row>
    <row r="77" spans="1:14" s="27" customFormat="1" ht="15" customHeight="1" thickBot="1" x14ac:dyDescent="0.35">
      <c r="A77" s="5"/>
      <c r="B77" s="6" t="s">
        <v>13</v>
      </c>
      <c r="C77" s="15">
        <f>IFERROR(C66/C71,0)</f>
        <v>92.784590934411298</v>
      </c>
      <c r="D77" s="15">
        <f>IFERROR(D66/D71,0)</f>
        <v>0</v>
      </c>
      <c r="E77" s="15">
        <f>IFERROR(E66/E71,0)</f>
        <v>0</v>
      </c>
      <c r="F77" s="69">
        <f>IFERROR(E77-C77,0)</f>
        <v>-92.784590934411298</v>
      </c>
      <c r="G77" s="15">
        <f>IFERROR(G66/G71,0)</f>
        <v>64.097775255391596</v>
      </c>
      <c r="H77" s="69">
        <f>IFERROR(E77-G77,0)</f>
        <v>-64.097775255391596</v>
      </c>
      <c r="I77" s="21">
        <f>IFERROR(E77/C77-1,0)</f>
        <v>-1</v>
      </c>
      <c r="J77" s="22">
        <f>IFERROR(E77/G77-1,0)</f>
        <v>-1</v>
      </c>
      <c r="K77" s="55">
        <f>IFERROR(K66/K71,0)</f>
        <v>0</v>
      </c>
      <c r="L77" s="69">
        <f>IFERROR(E77-K77,0)</f>
        <v>0</v>
      </c>
      <c r="M77" s="73"/>
      <c r="N77" s="74"/>
    </row>
    <row r="78" spans="1:14" s="38" customFormat="1" ht="15" customHeight="1" thickBot="1" x14ac:dyDescent="0.35">
      <c r="A78" s="9"/>
      <c r="B78" s="10" t="s">
        <v>14</v>
      </c>
      <c r="C78" s="16">
        <f>IFERROR(C66/C70,0)</f>
        <v>65.290490310398397</v>
      </c>
      <c r="D78" s="16">
        <f>IFERROR(D66/D70,0)</f>
        <v>-7.5172413793103449E-4</v>
      </c>
      <c r="E78" s="16">
        <f>IFERROR(E66/E70,0)</f>
        <v>-7.5172413793103449E-4</v>
      </c>
      <c r="F78" s="70">
        <f t="shared" ref="F78:F79" si="28">IFERROR(E78-C78,0)</f>
        <v>-65.291242034536324</v>
      </c>
      <c r="G78" s="16">
        <f>IFERROR(G66/G70,0)</f>
        <v>12.981641379310345</v>
      </c>
      <c r="H78" s="70">
        <f t="shared" ref="H78:H79" si="29">IFERROR(E78-G78,0)</f>
        <v>-12.982393103448276</v>
      </c>
      <c r="I78" s="20">
        <f>IFERROR(E78/C78-1,0)</f>
        <v>-1.000011513531823</v>
      </c>
      <c r="J78" s="11">
        <f>IFERROR(E78/G78-1,0)</f>
        <v>-1.0000579067096345</v>
      </c>
      <c r="K78" s="56">
        <f>IFERROR(K66/K70,0)</f>
        <v>-7.5172413793103449E-4</v>
      </c>
      <c r="L78" s="70">
        <f>IFERROR(E78-K78,0)</f>
        <v>0</v>
      </c>
      <c r="M78" s="73"/>
      <c r="N78" s="74"/>
    </row>
    <row r="79" spans="1:14" ht="15" customHeight="1" thickBot="1" x14ac:dyDescent="0.35">
      <c r="A79" s="17"/>
      <c r="B79" s="18" t="s">
        <v>34</v>
      </c>
      <c r="C79" s="19">
        <f>IFERROR(C65/C71,0)</f>
        <v>107.93094645897207</v>
      </c>
      <c r="D79" s="19">
        <f>IFERROR(D65/D71,0)</f>
        <v>0</v>
      </c>
      <c r="E79" s="19">
        <f>IFERROR(E65/E71,0)</f>
        <v>0</v>
      </c>
      <c r="F79" s="72">
        <f t="shared" si="28"/>
        <v>-107.93094645897207</v>
      </c>
      <c r="G79" s="19">
        <f>IFERROR(G65/G71,0)</f>
        <v>76.290170261066962</v>
      </c>
      <c r="H79" s="72">
        <f t="shared" si="29"/>
        <v>-76.290170261066962</v>
      </c>
      <c r="I79" s="25">
        <f>IFERROR(E79/C79-1,0)</f>
        <v>-1</v>
      </c>
      <c r="J79" s="26">
        <f>IFERROR(E79/G79-1,0)</f>
        <v>-1</v>
      </c>
      <c r="K79" s="57">
        <f>IFERROR(K65/K71,0)</f>
        <v>0</v>
      </c>
      <c r="L79" s="72">
        <f>IFERROR(E79-K79,0)</f>
        <v>0</v>
      </c>
      <c r="M79" s="73"/>
      <c r="N79" s="74"/>
    </row>
    <row r="80" spans="1:14" s="27" customFormat="1" ht="15" customHeight="1" thickBot="1" x14ac:dyDescent="0.35">
      <c r="A80" s="1"/>
      <c r="B80" s="2" t="s">
        <v>25</v>
      </c>
      <c r="C80" s="3">
        <f>SUM(C81:C83)</f>
        <v>390884.95242794818</v>
      </c>
      <c r="D80" s="3">
        <f>SUM(D81:D83)</f>
        <v>1892.77</v>
      </c>
      <c r="E80" s="4">
        <f>SUM(E81:E83)</f>
        <v>1892.77</v>
      </c>
      <c r="F80" s="71">
        <f>IFERROR(SUM(F81:F83),0)</f>
        <v>-388992.18242794817</v>
      </c>
      <c r="G80" s="3">
        <f>SUM(G81:G83)</f>
        <v>83583.600000000006</v>
      </c>
      <c r="H80" s="71">
        <f>IFERROR(E80-G80,0)</f>
        <v>-81690.83</v>
      </c>
      <c r="I80" s="20">
        <f>IFERROR(E80/C80-1,0)</f>
        <v>-0.995157731224384</v>
      </c>
      <c r="J80" s="11">
        <f>IFERROR(E80/G80-1,0)</f>
        <v>-0.97735476816026112</v>
      </c>
      <c r="K80" s="51">
        <f>SUM(K81:K83)</f>
        <v>1892.77</v>
      </c>
      <c r="L80" s="71">
        <f>IFERROR(SUM(L81:L83),0)</f>
        <v>0</v>
      </c>
      <c r="M80" s="73"/>
      <c r="N80" s="74"/>
    </row>
    <row r="81" spans="1:14" s="27" customFormat="1" ht="15" customHeight="1" thickBot="1" x14ac:dyDescent="0.35">
      <c r="A81" s="5"/>
      <c r="B81" s="6" t="s">
        <v>5</v>
      </c>
      <c r="C81" s="45">
        <v>337939.36385103862</v>
      </c>
      <c r="D81" s="45">
        <v>3.27</v>
      </c>
      <c r="E81" s="45">
        <v>3.27</v>
      </c>
      <c r="F81" s="67">
        <f>IFERROR(E81-C81,0)</f>
        <v>-337936.0938510386</v>
      </c>
      <c r="G81" s="45">
        <v>71381.8</v>
      </c>
      <c r="H81" s="67">
        <f t="shared" ref="H81:H83" si="30">IFERROR(E81-G81,0)</f>
        <v>-71378.53</v>
      </c>
      <c r="I81" s="21">
        <f t="shared" ref="I81:I83" si="31">IFERROR(E81/C81-1,0)</f>
        <v>-0.99999032370789032</v>
      </c>
      <c r="J81" s="22">
        <f t="shared" ref="J81:J83" si="32">IFERROR(E81/G81-1,0)</f>
        <v>-0.99995419000361441</v>
      </c>
      <c r="K81" s="52">
        <v>3.27</v>
      </c>
      <c r="L81" s="67">
        <f>IFERROR(E81-K81,0)</f>
        <v>0</v>
      </c>
      <c r="M81" s="73"/>
      <c r="N81" s="74"/>
    </row>
    <row r="82" spans="1:14" s="27" customFormat="1" ht="15" customHeight="1" thickBot="1" x14ac:dyDescent="0.35">
      <c r="A82" s="5"/>
      <c r="B82" s="6" t="s">
        <v>6</v>
      </c>
      <c r="C82" s="45">
        <v>37705.700141879999</v>
      </c>
      <c r="D82" s="45">
        <v>0</v>
      </c>
      <c r="E82" s="45">
        <v>0</v>
      </c>
      <c r="F82" s="67">
        <f t="shared" ref="F82:F83" si="33">IFERROR(E82-C82,0)</f>
        <v>-37705.700141879999</v>
      </c>
      <c r="G82" s="45">
        <v>2002.91</v>
      </c>
      <c r="H82" s="67">
        <f t="shared" si="30"/>
        <v>-2002.91</v>
      </c>
      <c r="I82" s="21">
        <f t="shared" si="31"/>
        <v>-1</v>
      </c>
      <c r="J82" s="22">
        <f t="shared" si="32"/>
        <v>-1</v>
      </c>
      <c r="K82" s="52">
        <v>0</v>
      </c>
      <c r="L82" s="67">
        <f>IFERROR(E82-K82,0)</f>
        <v>0</v>
      </c>
      <c r="M82" s="73"/>
      <c r="N82" s="74"/>
    </row>
    <row r="83" spans="1:14" s="27" customFormat="1" ht="15" customHeight="1" thickBot="1" x14ac:dyDescent="0.35">
      <c r="A83" s="5"/>
      <c r="B83" s="6" t="s">
        <v>7</v>
      </c>
      <c r="C83" s="45">
        <v>15239.888435029568</v>
      </c>
      <c r="D83" s="45">
        <v>1889.5</v>
      </c>
      <c r="E83" s="45">
        <v>1889.5</v>
      </c>
      <c r="F83" s="67">
        <f t="shared" si="33"/>
        <v>-13350.388435029568</v>
      </c>
      <c r="G83" s="45">
        <v>10198.89</v>
      </c>
      <c r="H83" s="67">
        <f t="shared" si="30"/>
        <v>-8309.39</v>
      </c>
      <c r="I83" s="21">
        <f t="shared" si="31"/>
        <v>-0.87601615273922218</v>
      </c>
      <c r="J83" s="22">
        <f t="shared" si="32"/>
        <v>-0.8147347407413944</v>
      </c>
      <c r="K83" s="52">
        <v>1889.5</v>
      </c>
      <c r="L83" s="67">
        <f>IFERROR(E83-K83,0)</f>
        <v>0</v>
      </c>
      <c r="M83" s="73"/>
      <c r="N83" s="74"/>
    </row>
    <row r="84" spans="1:14" s="27" customFormat="1" ht="5.0999999999999996" customHeight="1" thickBot="1" x14ac:dyDescent="0.35">
      <c r="A84" s="5"/>
      <c r="B84" s="6"/>
      <c r="C84" s="7"/>
      <c r="D84" s="7"/>
      <c r="E84" s="8"/>
      <c r="F84" s="67"/>
      <c r="G84" s="7"/>
      <c r="H84" s="67"/>
      <c r="I84" s="21"/>
      <c r="J84" s="21"/>
      <c r="K84" s="53"/>
      <c r="L84" s="67"/>
      <c r="M84" s="73"/>
      <c r="N84" s="74"/>
    </row>
    <row r="85" spans="1:14" s="27" customFormat="1" ht="15" customHeight="1" thickBot="1" x14ac:dyDescent="0.35">
      <c r="A85" s="5"/>
      <c r="B85" s="6" t="s">
        <v>8</v>
      </c>
      <c r="C85" s="45">
        <v>4495</v>
      </c>
      <c r="D85" s="45">
        <v>4495</v>
      </c>
      <c r="E85" s="46">
        <v>4495</v>
      </c>
      <c r="F85" s="67">
        <f>IFERROR(E85-C85,0)</f>
        <v>0</v>
      </c>
      <c r="G85" s="45">
        <v>4495</v>
      </c>
      <c r="H85" s="67">
        <f>IFERROR(E85-G85,0)</f>
        <v>0</v>
      </c>
      <c r="I85" s="23"/>
      <c r="J85" s="24"/>
      <c r="K85" s="52">
        <v>4495</v>
      </c>
      <c r="L85" s="67">
        <f>IFERROR(E85-K85,0)</f>
        <v>0</v>
      </c>
      <c r="M85" s="73"/>
      <c r="N85" s="74"/>
    </row>
    <row r="86" spans="1:14" s="27" customFormat="1" ht="15" customHeight="1" thickBot="1" x14ac:dyDescent="0.35">
      <c r="A86" s="5"/>
      <c r="B86" s="6" t="s">
        <v>9</v>
      </c>
      <c r="C86" s="45">
        <v>3421</v>
      </c>
      <c r="D86" s="45">
        <v>0</v>
      </c>
      <c r="E86" s="46">
        <v>0</v>
      </c>
      <c r="F86" s="67">
        <f>IFERROR(E86-C86,0)</f>
        <v>-3421</v>
      </c>
      <c r="G86" s="45">
        <v>1018</v>
      </c>
      <c r="H86" s="67">
        <f>IFERROR(E86-G86,0)</f>
        <v>-1018</v>
      </c>
      <c r="I86" s="23"/>
      <c r="J86" s="24"/>
      <c r="K86" s="52">
        <v>0</v>
      </c>
      <c r="L86" s="67">
        <f>IFERROR(E86-K86,0)</f>
        <v>0</v>
      </c>
      <c r="M86" s="73"/>
      <c r="N86" s="74"/>
    </row>
    <row r="87" spans="1:14" s="38" customFormat="1" ht="15" customHeight="1" thickBot="1" x14ac:dyDescent="0.35">
      <c r="A87" s="9"/>
      <c r="B87" s="10" t="s">
        <v>10</v>
      </c>
      <c r="C87" s="11">
        <f>IFERROR(C86/C85,0)</f>
        <v>0.7610678531701891</v>
      </c>
      <c r="D87" s="11">
        <f>IFERROR(D86/D85,0)</f>
        <v>0</v>
      </c>
      <c r="E87" s="11">
        <f>IFERROR(E86/E85,0)</f>
        <v>0</v>
      </c>
      <c r="F87" s="68">
        <f>IFERROR(E87-C87,0)</f>
        <v>-0.7610678531701891</v>
      </c>
      <c r="G87" s="11">
        <f>IFERROR(G86/G85,0)</f>
        <v>0.2264738598442714</v>
      </c>
      <c r="H87" s="68">
        <f>IFERROR(E87-G87,0)</f>
        <v>-0.2264738598442714</v>
      </c>
      <c r="I87" s="20">
        <f>IFERROR(E87/C87-1,0)</f>
        <v>-1</v>
      </c>
      <c r="J87" s="11">
        <f>IFERROR(E87/G87-1,0)</f>
        <v>-1</v>
      </c>
      <c r="K87" s="12">
        <f>IFERROR(K86/K85,0)</f>
        <v>0</v>
      </c>
      <c r="L87" s="68">
        <f>IFERROR(E87-K87,0)</f>
        <v>0</v>
      </c>
      <c r="M87" s="73"/>
      <c r="N87" s="74"/>
    </row>
    <row r="88" spans="1:14" s="27" customFormat="1" ht="5.0999999999999996" customHeight="1" thickBot="1" x14ac:dyDescent="0.35">
      <c r="A88" s="5"/>
      <c r="B88" s="6"/>
      <c r="C88" s="7"/>
      <c r="D88" s="13"/>
      <c r="E88" s="14"/>
      <c r="F88" s="67"/>
      <c r="G88" s="13"/>
      <c r="H88" s="67"/>
      <c r="I88" s="21"/>
      <c r="J88" s="22"/>
      <c r="K88" s="54"/>
      <c r="L88" s="67"/>
      <c r="M88" s="73"/>
      <c r="N88" s="74"/>
    </row>
    <row r="89" spans="1:14" s="27" customFormat="1" ht="15" customHeight="1" thickBot="1" x14ac:dyDescent="0.35">
      <c r="A89" s="5"/>
      <c r="B89" s="6" t="s">
        <v>11</v>
      </c>
      <c r="C89" s="45">
        <v>5492.13</v>
      </c>
      <c r="D89" s="45">
        <v>0</v>
      </c>
      <c r="E89" s="46">
        <v>0</v>
      </c>
      <c r="F89" s="67">
        <f>IFERROR(E89-C89,0)</f>
        <v>-5492.13</v>
      </c>
      <c r="G89" s="45">
        <v>1152</v>
      </c>
      <c r="H89" s="67">
        <f>IFERROR(E89-G89,0)</f>
        <v>-1152</v>
      </c>
      <c r="I89" s="21"/>
      <c r="J89" s="22"/>
      <c r="K89" s="52">
        <v>0</v>
      </c>
      <c r="L89" s="67">
        <f>IFERROR(E89-K89,0)</f>
        <v>0</v>
      </c>
      <c r="M89" s="73"/>
      <c r="N89" s="74"/>
    </row>
    <row r="90" spans="1:14" s="27" customFormat="1" ht="15" customHeight="1" thickBot="1" x14ac:dyDescent="0.35">
      <c r="A90" s="5"/>
      <c r="B90" s="6" t="s">
        <v>12</v>
      </c>
      <c r="C90" s="15">
        <f>IFERROR(C89/C86,0)</f>
        <v>1.6054165448699211</v>
      </c>
      <c r="D90" s="15">
        <f>IFERROR(D89/D86,0)</f>
        <v>0</v>
      </c>
      <c r="E90" s="15">
        <f>IFERROR(E89/E86,0)</f>
        <v>0</v>
      </c>
      <c r="F90" s="69">
        <f>IFERROR(E90-C90,0)</f>
        <v>-1.6054165448699211</v>
      </c>
      <c r="G90" s="15">
        <f>IFERROR(G89/G86,0)</f>
        <v>1.1316306483300589</v>
      </c>
      <c r="H90" s="69">
        <f>IFERROR(E90-G90,0)</f>
        <v>-1.1316306483300589</v>
      </c>
      <c r="I90" s="21"/>
      <c r="J90" s="22"/>
      <c r="K90" s="55">
        <f>IFERROR(K89/K86,0)</f>
        <v>0</v>
      </c>
      <c r="L90" s="69">
        <f>IFERROR(E90-K90,0)</f>
        <v>0</v>
      </c>
      <c r="M90" s="73"/>
      <c r="N90" s="74"/>
    </row>
    <row r="91" spans="1:14" s="27" customFormat="1" ht="5.0999999999999996" customHeight="1" thickBot="1" x14ac:dyDescent="0.35">
      <c r="A91" s="5"/>
      <c r="B91" s="6"/>
      <c r="C91" s="7"/>
      <c r="D91" s="13"/>
      <c r="E91" s="14"/>
      <c r="F91" s="69"/>
      <c r="G91" s="13"/>
      <c r="H91" s="69"/>
      <c r="I91" s="21"/>
      <c r="J91" s="22"/>
      <c r="K91" s="54"/>
      <c r="L91" s="69"/>
      <c r="M91" s="73"/>
      <c r="N91" s="74"/>
    </row>
    <row r="92" spans="1:14" s="27" customFormat="1" ht="15" customHeight="1" thickBot="1" x14ac:dyDescent="0.35">
      <c r="A92" s="5"/>
      <c r="B92" s="6" t="s">
        <v>13</v>
      </c>
      <c r="C92" s="15">
        <f>IFERROR(C81/C86,0)</f>
        <v>98.783795337924175</v>
      </c>
      <c r="D92" s="15">
        <f>IFERROR(D81/D86,0)</f>
        <v>0</v>
      </c>
      <c r="E92" s="15">
        <f>IFERROR(E81/E86,0)</f>
        <v>0</v>
      </c>
      <c r="F92" s="69">
        <f>IFERROR(E92-C92,0)</f>
        <v>-98.783795337924175</v>
      </c>
      <c r="G92" s="15">
        <f>IFERROR(G81/G86,0)</f>
        <v>70.119646365422398</v>
      </c>
      <c r="H92" s="69">
        <f>IFERROR(E92-G92,0)</f>
        <v>-70.119646365422398</v>
      </c>
      <c r="I92" s="21">
        <f>IFERROR(E92/C92-1,0)</f>
        <v>-1</v>
      </c>
      <c r="J92" s="22">
        <f>IFERROR(E92/G92-1,0)</f>
        <v>-1</v>
      </c>
      <c r="K92" s="55">
        <f>IFERROR(K81/K86,0)</f>
        <v>0</v>
      </c>
      <c r="L92" s="69">
        <f>IFERROR(E92-K92,0)</f>
        <v>0</v>
      </c>
      <c r="M92" s="73"/>
      <c r="N92" s="74"/>
    </row>
    <row r="93" spans="1:14" s="38" customFormat="1" ht="15" customHeight="1" thickBot="1" x14ac:dyDescent="0.35">
      <c r="A93" s="9"/>
      <c r="B93" s="10" t="s">
        <v>14</v>
      </c>
      <c r="C93" s="16">
        <f>IFERROR(C81/C85,0)</f>
        <v>75.181171045837289</v>
      </c>
      <c r="D93" s="16">
        <f>IFERROR(D81/D85,0)</f>
        <v>7.2747497219132374E-4</v>
      </c>
      <c r="E93" s="16">
        <f>IFERROR(E81/E85,0)</f>
        <v>7.2747497219132374E-4</v>
      </c>
      <c r="F93" s="70">
        <f t="shared" ref="F93:F94" si="34">IFERROR(E93-C93,0)</f>
        <v>-75.180443570865094</v>
      </c>
      <c r="G93" s="16">
        <f>IFERROR(G81/G85,0)</f>
        <v>15.880266963292549</v>
      </c>
      <c r="H93" s="70">
        <f t="shared" ref="H93:H94" si="35">IFERROR(E93-G93,0)</f>
        <v>-15.879539488320358</v>
      </c>
      <c r="I93" s="20">
        <f>IFERROR(E93/C93-1,0)</f>
        <v>-0.99999032370789032</v>
      </c>
      <c r="J93" s="11">
        <f>IFERROR(E93/G93-1,0)</f>
        <v>-0.99995419000361441</v>
      </c>
      <c r="K93" s="56">
        <f>IFERROR(K81/K85,0)</f>
        <v>7.2747497219132374E-4</v>
      </c>
      <c r="L93" s="70">
        <f>IFERROR(E93-K93,0)</f>
        <v>0</v>
      </c>
      <c r="M93" s="73"/>
      <c r="N93" s="74"/>
    </row>
    <row r="94" spans="1:14" ht="15" customHeight="1" thickBot="1" x14ac:dyDescent="0.35">
      <c r="A94" s="17"/>
      <c r="B94" s="18" t="s">
        <v>34</v>
      </c>
      <c r="C94" s="19">
        <f>IFERROR(C80/C86,0)</f>
        <v>114.26043625488109</v>
      </c>
      <c r="D94" s="19">
        <f>IFERROR(D80/D86,0)</f>
        <v>0</v>
      </c>
      <c r="E94" s="19">
        <f>IFERROR(E80/E86,0)</f>
        <v>0</v>
      </c>
      <c r="F94" s="72">
        <f t="shared" si="34"/>
        <v>-114.26043625488109</v>
      </c>
      <c r="G94" s="19">
        <f>IFERROR(G80/G86,0)</f>
        <v>82.105697445972496</v>
      </c>
      <c r="H94" s="72">
        <f t="shared" si="35"/>
        <v>-82.105697445972496</v>
      </c>
      <c r="I94" s="25">
        <f>IFERROR(E94/C94-1,0)</f>
        <v>-1</v>
      </c>
      <c r="J94" s="26">
        <f>IFERROR(E94/G94-1,0)</f>
        <v>-1</v>
      </c>
      <c r="K94" s="57">
        <f>IFERROR(K80/K86,0)</f>
        <v>0</v>
      </c>
      <c r="L94" s="72">
        <f>IFERROR(E94-K94,0)</f>
        <v>0</v>
      </c>
      <c r="M94" s="73"/>
      <c r="N94" s="74"/>
    </row>
    <row r="95" spans="1:14" s="27" customFormat="1" ht="15" customHeight="1" thickBot="1" x14ac:dyDescent="0.35">
      <c r="A95" s="1"/>
      <c r="B95" s="2" t="s">
        <v>26</v>
      </c>
      <c r="C95" s="3">
        <f>SUM(C96:C98)</f>
        <v>382571.99819516408</v>
      </c>
      <c r="D95" s="3">
        <f>SUM(D96:D98)</f>
        <v>83557.13</v>
      </c>
      <c r="E95" s="4">
        <f>SUM(E96:E98)</f>
        <v>83557.13</v>
      </c>
      <c r="F95" s="71">
        <f>IFERROR(SUM(F96:F98),0)</f>
        <v>-299014.86819516413</v>
      </c>
      <c r="G95" s="3">
        <f>SUM(G96:G98)</f>
        <v>128368</v>
      </c>
      <c r="H95" s="71">
        <f>IFERROR(E95-G95,0)</f>
        <v>-44810.869999999995</v>
      </c>
      <c r="I95" s="20">
        <f>IFERROR(E95/C95-1,0)</f>
        <v>-0.78159109816141215</v>
      </c>
      <c r="J95" s="11">
        <f>IFERROR(E95/G95-1,0)</f>
        <v>-0.34908131309983792</v>
      </c>
      <c r="K95" s="51">
        <f>SUM(K96:K98)</f>
        <v>83557.13</v>
      </c>
      <c r="L95" s="71">
        <f>IFERROR(SUM(L96:L98),0)</f>
        <v>7.2759576141834259E-12</v>
      </c>
      <c r="M95" s="73"/>
      <c r="N95" s="74"/>
    </row>
    <row r="96" spans="1:14" s="27" customFormat="1" ht="15" customHeight="1" thickBot="1" x14ac:dyDescent="0.35">
      <c r="A96" s="5"/>
      <c r="B96" s="6" t="s">
        <v>5</v>
      </c>
      <c r="C96" s="45">
        <v>331934.72338696668</v>
      </c>
      <c r="D96" s="45">
        <v>54696.29</v>
      </c>
      <c r="E96" s="45">
        <v>54696.29</v>
      </c>
      <c r="F96" s="67">
        <f>IFERROR(E96-C96,0)</f>
        <v>-277238.4333869667</v>
      </c>
      <c r="G96" s="45">
        <v>91654.84</v>
      </c>
      <c r="H96" s="67">
        <f t="shared" ref="H96:H98" si="36">IFERROR(E96-G96,0)</f>
        <v>-36958.549999999996</v>
      </c>
      <c r="I96" s="21">
        <f t="shared" ref="I96:I98" si="37">IFERROR(E96/C96-1,0)</f>
        <v>-0.83521974006848465</v>
      </c>
      <c r="J96" s="22">
        <f t="shared" ref="J96:J98" si="38">IFERROR(E96/G96-1,0)</f>
        <v>-0.40323620662040316</v>
      </c>
      <c r="K96" s="52">
        <v>54696.29</v>
      </c>
      <c r="L96" s="67">
        <f>IFERROR(E96-K96,0)</f>
        <v>0</v>
      </c>
      <c r="M96" s="73"/>
      <c r="N96" s="74"/>
    </row>
    <row r="97" spans="1:14" s="27" customFormat="1" ht="15" customHeight="1" thickBot="1" x14ac:dyDescent="0.35">
      <c r="A97" s="5"/>
      <c r="B97" s="6" t="s">
        <v>6</v>
      </c>
      <c r="C97" s="45">
        <v>36602.127871076998</v>
      </c>
      <c r="D97" s="45">
        <v>7341.6</v>
      </c>
      <c r="E97" s="45">
        <v>7341.6</v>
      </c>
      <c r="F97" s="67">
        <f t="shared" ref="F97:F98" si="39">IFERROR(E97-C97,0)</f>
        <v>-29260.527871077</v>
      </c>
      <c r="G97" s="45">
        <v>4812.6100000000006</v>
      </c>
      <c r="H97" s="67">
        <f t="shared" si="36"/>
        <v>2528.9899999999998</v>
      </c>
      <c r="I97" s="21">
        <f t="shared" si="37"/>
        <v>-0.79942149740968116</v>
      </c>
      <c r="J97" s="22">
        <f t="shared" si="38"/>
        <v>0.52549240432945932</v>
      </c>
      <c r="K97" s="52">
        <v>7341.6</v>
      </c>
      <c r="L97" s="67">
        <f>IFERROR(E97-K97,0)</f>
        <v>0</v>
      </c>
      <c r="M97" s="73"/>
      <c r="N97" s="74"/>
    </row>
    <row r="98" spans="1:14" s="27" customFormat="1" ht="15" customHeight="1" thickBot="1" x14ac:dyDescent="0.35">
      <c r="A98" s="5"/>
      <c r="B98" s="6" t="s">
        <v>7</v>
      </c>
      <c r="C98" s="45">
        <v>14035.14693712044</v>
      </c>
      <c r="D98" s="45">
        <v>21519.240000000009</v>
      </c>
      <c r="E98" s="45">
        <v>21519.240000000009</v>
      </c>
      <c r="F98" s="67">
        <f t="shared" si="39"/>
        <v>7484.0930628795686</v>
      </c>
      <c r="G98" s="45">
        <v>31900.55</v>
      </c>
      <c r="H98" s="67">
        <f t="shared" si="36"/>
        <v>-10381.30999999999</v>
      </c>
      <c r="I98" s="21">
        <f t="shared" si="37"/>
        <v>0.53323938084933675</v>
      </c>
      <c r="J98" s="22">
        <f t="shared" si="38"/>
        <v>-0.32542730454490565</v>
      </c>
      <c r="K98" s="52">
        <v>21519.24</v>
      </c>
      <c r="L98" s="67">
        <f>IFERROR(E98-K98,0)</f>
        <v>7.2759576141834259E-12</v>
      </c>
      <c r="M98" s="73"/>
      <c r="N98" s="74"/>
    </row>
    <row r="99" spans="1:14" s="27" customFormat="1" ht="5.0999999999999996" customHeight="1" thickBot="1" x14ac:dyDescent="0.35">
      <c r="A99" s="5"/>
      <c r="B99" s="6"/>
      <c r="C99" s="7"/>
      <c r="D99" s="7"/>
      <c r="E99" s="8"/>
      <c r="F99" s="67"/>
      <c r="G99" s="7"/>
      <c r="H99" s="67"/>
      <c r="I99" s="21"/>
      <c r="J99" s="21"/>
      <c r="K99" s="53"/>
      <c r="L99" s="67"/>
      <c r="M99" s="73"/>
      <c r="N99" s="74"/>
    </row>
    <row r="100" spans="1:14" s="27" customFormat="1" ht="15" customHeight="1" thickBot="1" x14ac:dyDescent="0.35">
      <c r="A100" s="5"/>
      <c r="B100" s="6" t="s">
        <v>8</v>
      </c>
      <c r="C100" s="45">
        <v>4350</v>
      </c>
      <c r="D100" s="45">
        <v>4350</v>
      </c>
      <c r="E100" s="46">
        <v>4350</v>
      </c>
      <c r="F100" s="67">
        <f>IFERROR(E100-C100,0)</f>
        <v>0</v>
      </c>
      <c r="G100" s="45">
        <v>4350</v>
      </c>
      <c r="H100" s="67">
        <f>IFERROR(E100-G100,0)</f>
        <v>0</v>
      </c>
      <c r="I100" s="23"/>
      <c r="J100" s="24"/>
      <c r="K100" s="52">
        <v>4350</v>
      </c>
      <c r="L100" s="67">
        <f>IFERROR(E100-K100,0)</f>
        <v>0</v>
      </c>
      <c r="M100" s="73"/>
      <c r="N100" s="74"/>
    </row>
    <row r="101" spans="1:14" s="27" customFormat="1" ht="15" customHeight="1" thickBot="1" x14ac:dyDescent="0.35">
      <c r="A101" s="5"/>
      <c r="B101" s="6" t="s">
        <v>9</v>
      </c>
      <c r="C101" s="45">
        <v>3327</v>
      </c>
      <c r="D101" s="45">
        <v>856</v>
      </c>
      <c r="E101" s="46">
        <v>856</v>
      </c>
      <c r="F101" s="67">
        <f>IFERROR(E101-C101,0)</f>
        <v>-2471</v>
      </c>
      <c r="G101" s="45">
        <v>1277</v>
      </c>
      <c r="H101" s="67">
        <f>IFERROR(E101-G101,0)</f>
        <v>-421</v>
      </c>
      <c r="I101" s="23"/>
      <c r="J101" s="24"/>
      <c r="K101" s="52">
        <v>856</v>
      </c>
      <c r="L101" s="67">
        <f>IFERROR(E101-K101,0)</f>
        <v>0</v>
      </c>
      <c r="M101" s="73"/>
      <c r="N101" s="74"/>
    </row>
    <row r="102" spans="1:14" s="38" customFormat="1" ht="15" customHeight="1" thickBot="1" x14ac:dyDescent="0.35">
      <c r="A102" s="9"/>
      <c r="B102" s="10" t="s">
        <v>10</v>
      </c>
      <c r="C102" s="11">
        <f>IFERROR(C101/C100,0)</f>
        <v>0.7648275862068965</v>
      </c>
      <c r="D102" s="11">
        <f>IFERROR(D101/D100,0)</f>
        <v>0.1967816091954023</v>
      </c>
      <c r="E102" s="11">
        <f>IFERROR(E101/E100,0)</f>
        <v>0.1967816091954023</v>
      </c>
      <c r="F102" s="68">
        <f>IFERROR(E102-C102,0)</f>
        <v>-0.56804597701149417</v>
      </c>
      <c r="G102" s="11">
        <f>IFERROR(G101/G100,0)</f>
        <v>0.29356321839080457</v>
      </c>
      <c r="H102" s="68">
        <f>IFERROR(E102-G102,0)</f>
        <v>-9.6781609195402268E-2</v>
      </c>
      <c r="I102" s="20">
        <f>IFERROR(E102/C102-1,0)</f>
        <v>-0.74271115118725572</v>
      </c>
      <c r="J102" s="11">
        <f>IFERROR(E102/G102-1,0)</f>
        <v>-0.32967893500391532</v>
      </c>
      <c r="K102" s="12">
        <f>IFERROR(K101/K100,0)</f>
        <v>0.1967816091954023</v>
      </c>
      <c r="L102" s="68">
        <f>IFERROR(E102-K102,0)</f>
        <v>0</v>
      </c>
      <c r="M102" s="73"/>
      <c r="N102" s="74"/>
    </row>
    <row r="103" spans="1:14" s="27" customFormat="1" ht="5.0999999999999996" customHeight="1" thickBot="1" x14ac:dyDescent="0.35">
      <c r="A103" s="5"/>
      <c r="B103" s="6"/>
      <c r="C103" s="7"/>
      <c r="D103" s="13"/>
      <c r="E103" s="14"/>
      <c r="F103" s="67"/>
      <c r="G103" s="13"/>
      <c r="H103" s="67"/>
      <c r="I103" s="21"/>
      <c r="J103" s="22"/>
      <c r="K103" s="54"/>
      <c r="L103" s="67"/>
      <c r="M103" s="73"/>
      <c r="N103" s="74"/>
    </row>
    <row r="104" spans="1:14" s="27" customFormat="1" ht="15" customHeight="1" thickBot="1" x14ac:dyDescent="0.35">
      <c r="A104" s="5"/>
      <c r="B104" s="6" t="s">
        <v>11</v>
      </c>
      <c r="C104" s="45">
        <v>5382.1800000000012</v>
      </c>
      <c r="D104" s="45">
        <v>1270</v>
      </c>
      <c r="E104" s="46">
        <v>1270</v>
      </c>
      <c r="F104" s="67">
        <f>IFERROR(E104-C104,0)</f>
        <v>-4112.1800000000012</v>
      </c>
      <c r="G104" s="45">
        <v>1576</v>
      </c>
      <c r="H104" s="67">
        <f>IFERROR(E104-G104,0)</f>
        <v>-306</v>
      </c>
      <c r="I104" s="21"/>
      <c r="J104" s="22"/>
      <c r="K104" s="52">
        <v>1270</v>
      </c>
      <c r="L104" s="67">
        <f>IFERROR(E104-K104,0)</f>
        <v>0</v>
      </c>
      <c r="M104" s="73"/>
      <c r="N104" s="74"/>
    </row>
    <row r="105" spans="1:14" s="27" customFormat="1" ht="15" customHeight="1" thickBot="1" x14ac:dyDescent="0.35">
      <c r="A105" s="5"/>
      <c r="B105" s="6" t="s">
        <v>12</v>
      </c>
      <c r="C105" s="15">
        <f>IFERROR(C104/C101,0)</f>
        <v>1.6177276825969344</v>
      </c>
      <c r="D105" s="15">
        <f>IFERROR(D104/D101,0)</f>
        <v>1.483644859813084</v>
      </c>
      <c r="E105" s="15">
        <f>IFERROR(E104/E101,0)</f>
        <v>1.483644859813084</v>
      </c>
      <c r="F105" s="69">
        <f>IFERROR(E105-C105,0)</f>
        <v>-0.13408282278385042</v>
      </c>
      <c r="G105" s="15">
        <f>IFERROR(G104/G101,0)</f>
        <v>1.2341425215348474</v>
      </c>
      <c r="H105" s="69">
        <f>IFERROR(E105-G105,0)</f>
        <v>0.24950233827823665</v>
      </c>
      <c r="I105" s="21"/>
      <c r="J105" s="22"/>
      <c r="K105" s="55">
        <f>IFERROR(K104/K101,0)</f>
        <v>1.483644859813084</v>
      </c>
      <c r="L105" s="69">
        <f>IFERROR(E105-K105,0)</f>
        <v>0</v>
      </c>
      <c r="M105" s="73"/>
      <c r="N105" s="74"/>
    </row>
    <row r="106" spans="1:14" s="27" customFormat="1" ht="5.0999999999999996" customHeight="1" thickBot="1" x14ac:dyDescent="0.35">
      <c r="A106" s="5"/>
      <c r="B106" s="6"/>
      <c r="C106" s="7"/>
      <c r="D106" s="13"/>
      <c r="E106" s="14"/>
      <c r="F106" s="69"/>
      <c r="G106" s="13"/>
      <c r="H106" s="69"/>
      <c r="I106" s="21"/>
      <c r="J106" s="22"/>
      <c r="K106" s="54"/>
      <c r="L106" s="69"/>
      <c r="M106" s="73"/>
      <c r="N106" s="74"/>
    </row>
    <row r="107" spans="1:14" s="27" customFormat="1" ht="15" customHeight="1" thickBot="1" x14ac:dyDescent="0.35">
      <c r="A107" s="5"/>
      <c r="B107" s="6" t="s">
        <v>13</v>
      </c>
      <c r="C107" s="15">
        <f>IFERROR(C96/C101,0)</f>
        <v>99.769979978048298</v>
      </c>
      <c r="D107" s="15">
        <f>IFERROR(D96/D101,0)</f>
        <v>63.897535046728976</v>
      </c>
      <c r="E107" s="15">
        <f>IFERROR(E96/E101,0)</f>
        <v>63.897535046728976</v>
      </c>
      <c r="F107" s="69">
        <f>IFERROR(E107-C107,0)</f>
        <v>-35.872444931319322</v>
      </c>
      <c r="G107" s="15">
        <f>IFERROR(G96/G101,0)</f>
        <v>71.773563038371179</v>
      </c>
      <c r="H107" s="69">
        <f>IFERROR(E107-G107,0)</f>
        <v>-7.8760279916422036</v>
      </c>
      <c r="I107" s="21">
        <f>IFERROR(E107/C107-1,0)</f>
        <v>-0.35955148972879503</v>
      </c>
      <c r="J107" s="22">
        <f>IFERROR(E107/G107-1,0)</f>
        <v>-0.10973438768020427</v>
      </c>
      <c r="K107" s="55">
        <f>IFERROR(K96/K101,0)</f>
        <v>63.897535046728976</v>
      </c>
      <c r="L107" s="69">
        <f>IFERROR(E107-K107,0)</f>
        <v>0</v>
      </c>
      <c r="M107" s="73"/>
      <c r="N107" s="74"/>
    </row>
    <row r="108" spans="1:14" s="38" customFormat="1" ht="15" customHeight="1" thickBot="1" x14ac:dyDescent="0.35">
      <c r="A108" s="9"/>
      <c r="B108" s="10" t="s">
        <v>14</v>
      </c>
      <c r="C108" s="16">
        <f>IFERROR(C96/C100,0)</f>
        <v>76.306832962521071</v>
      </c>
      <c r="D108" s="16">
        <f>IFERROR(D96/D100,0)</f>
        <v>12.573859770114943</v>
      </c>
      <c r="E108" s="16">
        <f>IFERROR(E96/E100,0)</f>
        <v>12.573859770114943</v>
      </c>
      <c r="F108" s="70">
        <f t="shared" ref="F108:F109" si="40">IFERROR(E108-C108,0)</f>
        <v>-63.732973192406128</v>
      </c>
      <c r="G108" s="16">
        <f>IFERROR(G96/G100,0)</f>
        <v>21.07007816091954</v>
      </c>
      <c r="H108" s="70">
        <f t="shared" ref="H108:H109" si="41">IFERROR(E108-G108,0)</f>
        <v>-8.4962183908045965</v>
      </c>
      <c r="I108" s="20">
        <f>IFERROR(E108/C108-1,0)</f>
        <v>-0.83521974006848465</v>
      </c>
      <c r="J108" s="11">
        <f>IFERROR(E108/G108-1,0)</f>
        <v>-0.40323620662040316</v>
      </c>
      <c r="K108" s="56">
        <f>IFERROR(K96/K100,0)</f>
        <v>12.573859770114943</v>
      </c>
      <c r="L108" s="70">
        <f>IFERROR(E108-K108,0)</f>
        <v>0</v>
      </c>
      <c r="M108" s="73"/>
      <c r="N108" s="74"/>
    </row>
    <row r="109" spans="1:14" ht="15" customHeight="1" thickBot="1" x14ac:dyDescent="0.35">
      <c r="A109" s="17"/>
      <c r="B109" s="18" t="s">
        <v>34</v>
      </c>
      <c r="C109" s="19">
        <f>IFERROR(C95/C101,0)</f>
        <v>114.99008061171148</v>
      </c>
      <c r="D109" s="19">
        <f>IFERROR(D95/D101,0)</f>
        <v>97.613469626168225</v>
      </c>
      <c r="E109" s="19">
        <f>IFERROR(E95/E101,0)</f>
        <v>97.613469626168225</v>
      </c>
      <c r="F109" s="72">
        <f t="shared" si="40"/>
        <v>-17.376610985543252</v>
      </c>
      <c r="G109" s="19">
        <f>IFERROR(G95/G101,0)</f>
        <v>100.52310101801096</v>
      </c>
      <c r="H109" s="72">
        <f t="shared" si="41"/>
        <v>-2.909631391842737</v>
      </c>
      <c r="I109" s="25">
        <f>IFERROR(E109/C109-1,0)</f>
        <v>-0.15111399951287174</v>
      </c>
      <c r="J109" s="26">
        <f>IFERROR(E109/G109-1,0)</f>
        <v>-2.8944902837024555E-2</v>
      </c>
      <c r="K109" s="57">
        <f>IFERROR(K95/K101,0)</f>
        <v>97.613469626168225</v>
      </c>
      <c r="L109" s="72">
        <f>IFERROR(E109-K109,0)</f>
        <v>0</v>
      </c>
      <c r="M109" s="73"/>
      <c r="N109" s="74"/>
    </row>
    <row r="110" spans="1:14" s="27" customFormat="1" ht="15" customHeight="1" thickBot="1" x14ac:dyDescent="0.35">
      <c r="A110" s="36"/>
      <c r="B110" s="59" t="s">
        <v>15</v>
      </c>
      <c r="C110" s="60">
        <f>SUM(C111:C113)</f>
        <v>342182.424</v>
      </c>
      <c r="D110" s="61">
        <f>SUM(D111:D113)</f>
        <v>227789.34999999998</v>
      </c>
      <c r="E110" s="61">
        <f>SUM(E111:E113)</f>
        <v>227789.34999999998</v>
      </c>
      <c r="F110" s="71">
        <f>IFERROR(SUM(F111:F113),0)</f>
        <v>-114393.07400000005</v>
      </c>
      <c r="G110" s="61">
        <f>SUM(G111:G113)</f>
        <v>162715.90000000002</v>
      </c>
      <c r="H110" s="71">
        <f>IFERROR(E110-G110,0)</f>
        <v>65073.449999999953</v>
      </c>
      <c r="I110" s="62">
        <f>IFERROR(E110/C110-1,0)</f>
        <v>-0.33430435339951892</v>
      </c>
      <c r="J110" s="63">
        <f>IFERROR(E110/G110-1,0)</f>
        <v>0.39992065925948195</v>
      </c>
      <c r="K110" s="64">
        <f>SUM(K111:K113)</f>
        <v>227789.34999999998</v>
      </c>
      <c r="L110" s="71">
        <f>IFERROR(SUM(L111:L113),0)</f>
        <v>-7.2759576141834259E-12</v>
      </c>
      <c r="M110" s="73"/>
      <c r="N110" s="74"/>
    </row>
    <row r="111" spans="1:14" s="27" customFormat="1" ht="15" customHeight="1" thickBot="1" x14ac:dyDescent="0.35">
      <c r="A111" s="5"/>
      <c r="B111" s="6" t="s">
        <v>5</v>
      </c>
      <c r="C111" s="45">
        <v>289771.28000000003</v>
      </c>
      <c r="D111" s="45">
        <v>181594.3</v>
      </c>
      <c r="E111" s="45">
        <v>181594.3</v>
      </c>
      <c r="F111" s="67">
        <f>IFERROR(E111-C111,0)</f>
        <v>-108176.98000000004</v>
      </c>
      <c r="G111" s="45">
        <v>134689.45000000001</v>
      </c>
      <c r="H111" s="67">
        <f t="shared" ref="H111:H113" si="42">IFERROR(E111-G111,0)</f>
        <v>46904.849999999977</v>
      </c>
      <c r="I111" s="21">
        <f t="shared" ref="I111:I113" si="43">IFERROR(E111/C111-1,0)</f>
        <v>-0.37331850140566047</v>
      </c>
      <c r="J111" s="22">
        <f t="shared" ref="J111:J113" si="44">IFERROR(E111/G111-1,0)</f>
        <v>0.34824442448907456</v>
      </c>
      <c r="K111" s="52">
        <v>181594.3</v>
      </c>
      <c r="L111" s="67">
        <f>IFERROR(E111-K111,0)</f>
        <v>0</v>
      </c>
      <c r="M111" s="73"/>
      <c r="N111" s="74"/>
    </row>
    <row r="112" spans="1:14" s="27" customFormat="1" ht="15" customHeight="1" thickBot="1" x14ac:dyDescent="0.35">
      <c r="A112" s="5"/>
      <c r="B112" s="6" t="s">
        <v>6</v>
      </c>
      <c r="C112" s="45">
        <v>35762.923999999999</v>
      </c>
      <c r="D112" s="45">
        <v>27378.419999999991</v>
      </c>
      <c r="E112" s="45">
        <v>27378.419999999991</v>
      </c>
      <c r="F112" s="67">
        <f t="shared" ref="F112:F113" si="45">IFERROR(E112-C112,0)</f>
        <v>-8384.5040000000081</v>
      </c>
      <c r="G112" s="45">
        <v>13694.2</v>
      </c>
      <c r="H112" s="67">
        <f t="shared" si="42"/>
        <v>13684.21999999999</v>
      </c>
      <c r="I112" s="21">
        <f t="shared" si="43"/>
        <v>-0.23444682543295425</v>
      </c>
      <c r="J112" s="22">
        <f t="shared" si="44"/>
        <v>0.99927122431394233</v>
      </c>
      <c r="K112" s="52">
        <v>27378.42</v>
      </c>
      <c r="L112" s="67">
        <f>IFERROR(E112-K112,0)</f>
        <v>-7.2759576141834259E-12</v>
      </c>
      <c r="M112" s="73"/>
      <c r="N112" s="74"/>
    </row>
    <row r="113" spans="1:14" s="27" customFormat="1" ht="15" customHeight="1" thickBot="1" x14ac:dyDescent="0.35">
      <c r="A113" s="5"/>
      <c r="B113" s="6" t="s">
        <v>7</v>
      </c>
      <c r="C113" s="45">
        <v>16648.22</v>
      </c>
      <c r="D113" s="45">
        <v>18816.630000000012</v>
      </c>
      <c r="E113" s="45">
        <v>18816.630000000012</v>
      </c>
      <c r="F113" s="67">
        <f t="shared" si="45"/>
        <v>2168.4100000000108</v>
      </c>
      <c r="G113" s="45">
        <v>14332.25</v>
      </c>
      <c r="H113" s="67">
        <f t="shared" si="42"/>
        <v>4484.3800000000119</v>
      </c>
      <c r="I113" s="21">
        <f t="shared" si="43"/>
        <v>0.13024875932682356</v>
      </c>
      <c r="J113" s="22">
        <f t="shared" si="44"/>
        <v>0.31288736939419914</v>
      </c>
      <c r="K113" s="52">
        <v>18816.630000000012</v>
      </c>
      <c r="L113" s="67">
        <f>IFERROR(E113-K113,0)</f>
        <v>0</v>
      </c>
      <c r="M113" s="73"/>
      <c r="N113" s="74"/>
    </row>
    <row r="114" spans="1:14" s="27" customFormat="1" ht="5.0999999999999996" customHeight="1" thickBot="1" x14ac:dyDescent="0.35">
      <c r="A114" s="5"/>
      <c r="B114" s="6"/>
      <c r="C114" s="7"/>
      <c r="D114" s="7"/>
      <c r="E114" s="8"/>
      <c r="F114" s="67"/>
      <c r="G114" s="7"/>
      <c r="H114" s="67"/>
      <c r="I114" s="21"/>
      <c r="J114" s="21"/>
      <c r="K114" s="53"/>
      <c r="L114" s="67"/>
      <c r="M114" s="73"/>
      <c r="N114" s="74"/>
    </row>
    <row r="115" spans="1:14" s="27" customFormat="1" ht="15" customHeight="1" thickBot="1" x14ac:dyDescent="0.35">
      <c r="A115" s="5"/>
      <c r="B115" s="6" t="s">
        <v>8</v>
      </c>
      <c r="C115" s="45">
        <v>4495</v>
      </c>
      <c r="D115" s="45">
        <v>4495</v>
      </c>
      <c r="E115" s="46">
        <v>4495</v>
      </c>
      <c r="F115" s="67">
        <f>IFERROR(E115-C115,0)</f>
        <v>0</v>
      </c>
      <c r="G115" s="45">
        <v>4495</v>
      </c>
      <c r="H115" s="67">
        <f>IFERROR(E115-G115,0)</f>
        <v>0</v>
      </c>
      <c r="I115" s="23"/>
      <c r="J115" s="24"/>
      <c r="K115" s="52">
        <v>4495</v>
      </c>
      <c r="L115" s="67">
        <f>IFERROR(E115-K115,0)</f>
        <v>0</v>
      </c>
      <c r="M115" s="73"/>
      <c r="N115" s="74"/>
    </row>
    <row r="116" spans="1:14" s="27" customFormat="1" ht="15" customHeight="1" thickBot="1" x14ac:dyDescent="0.35">
      <c r="A116" s="5"/>
      <c r="B116" s="6" t="s">
        <v>9</v>
      </c>
      <c r="C116" s="45">
        <v>3400</v>
      </c>
      <c r="D116" s="45">
        <v>2933</v>
      </c>
      <c r="E116" s="46">
        <v>2933</v>
      </c>
      <c r="F116" s="67">
        <f>IFERROR(E116-C116,0)</f>
        <v>-467</v>
      </c>
      <c r="G116" s="45">
        <v>1938</v>
      </c>
      <c r="H116" s="67">
        <f>IFERROR(E116-G116,0)</f>
        <v>995</v>
      </c>
      <c r="I116" s="23"/>
      <c r="J116" s="24"/>
      <c r="K116" s="52">
        <v>2933</v>
      </c>
      <c r="L116" s="67">
        <f>IFERROR(E116-K116,0)</f>
        <v>0</v>
      </c>
      <c r="M116" s="73"/>
      <c r="N116" s="74"/>
    </row>
    <row r="117" spans="1:14" s="38" customFormat="1" ht="15" customHeight="1" thickBot="1" x14ac:dyDescent="0.35">
      <c r="A117" s="9"/>
      <c r="B117" s="10" t="s">
        <v>10</v>
      </c>
      <c r="C117" s="11">
        <f>IFERROR(C116/C115,0)</f>
        <v>0.75639599555061177</v>
      </c>
      <c r="D117" s="11">
        <f>IFERROR(D116/D115,0)</f>
        <v>0.65250278086763069</v>
      </c>
      <c r="E117" s="11">
        <f>IFERROR(E116/E115,0)</f>
        <v>0.65250278086763069</v>
      </c>
      <c r="F117" s="68">
        <f>IFERROR(E117-C117,0)</f>
        <v>-0.10389321468298107</v>
      </c>
      <c r="G117" s="11">
        <f>IFERROR(G116/G115,0)</f>
        <v>0.43114571746384872</v>
      </c>
      <c r="H117" s="68">
        <f>IFERROR(E117-G117,0)</f>
        <v>0.22135706340378197</v>
      </c>
      <c r="I117" s="20">
        <f>IFERROR(E117/C117-1,0)</f>
        <v>-0.13735294117647057</v>
      </c>
      <c r="J117" s="11">
        <f>IFERROR(E117/G117-1,0)</f>
        <v>0.5134158926728587</v>
      </c>
      <c r="K117" s="12">
        <f>IFERROR(K116/K115,0)</f>
        <v>0.65250278086763069</v>
      </c>
      <c r="L117" s="68">
        <f>IFERROR(E117-K117,0)</f>
        <v>0</v>
      </c>
      <c r="M117" s="73"/>
      <c r="N117" s="74"/>
    </row>
    <row r="118" spans="1:14" s="27" customFormat="1" ht="5.0999999999999996" customHeight="1" thickBot="1" x14ac:dyDescent="0.35">
      <c r="A118" s="5"/>
      <c r="B118" s="6"/>
      <c r="C118" s="7"/>
      <c r="D118" s="13"/>
      <c r="E118" s="14"/>
      <c r="F118" s="67"/>
      <c r="G118" s="13"/>
      <c r="H118" s="67"/>
      <c r="I118" s="21"/>
      <c r="J118" s="22"/>
      <c r="K118" s="54"/>
      <c r="L118" s="67"/>
      <c r="M118" s="73"/>
      <c r="N118" s="74"/>
    </row>
    <row r="119" spans="1:14" s="27" customFormat="1" ht="15" customHeight="1" thickBot="1" x14ac:dyDescent="0.35">
      <c r="A119" s="5"/>
      <c r="B119" s="6" t="s">
        <v>11</v>
      </c>
      <c r="C119" s="45">
        <v>6261.95</v>
      </c>
      <c r="D119" s="45">
        <v>4710</v>
      </c>
      <c r="E119" s="46">
        <v>4710</v>
      </c>
      <c r="F119" s="67">
        <f>IFERROR(E119-C119,0)</f>
        <v>-1551.9499999999998</v>
      </c>
      <c r="G119" s="45">
        <v>2938</v>
      </c>
      <c r="H119" s="67">
        <f>IFERROR(E119-G119,0)</f>
        <v>1772</v>
      </c>
      <c r="I119" s="21"/>
      <c r="J119" s="22"/>
      <c r="K119" s="52">
        <v>4710</v>
      </c>
      <c r="L119" s="67">
        <f>IFERROR(E119-K119,0)</f>
        <v>0</v>
      </c>
      <c r="M119" s="73"/>
      <c r="N119" s="74"/>
    </row>
    <row r="120" spans="1:14" s="27" customFormat="1" ht="15" customHeight="1" thickBot="1" x14ac:dyDescent="0.35">
      <c r="A120" s="5"/>
      <c r="B120" s="6" t="s">
        <v>12</v>
      </c>
      <c r="C120" s="15">
        <f>IFERROR(C119/C116,0)</f>
        <v>1.84175</v>
      </c>
      <c r="D120" s="15">
        <f>IFERROR(D119/D116,0)</f>
        <v>1.6058643027616775</v>
      </c>
      <c r="E120" s="15">
        <f>IFERROR(E119/E116,0)</f>
        <v>1.6058643027616775</v>
      </c>
      <c r="F120" s="69">
        <f>IFERROR(E120-C120,0)</f>
        <v>-0.23588569723832253</v>
      </c>
      <c r="G120" s="15">
        <f>IFERROR(G119/G116,0)</f>
        <v>1.5159958720330238</v>
      </c>
      <c r="H120" s="69">
        <f>IFERROR(E120-G120,0)</f>
        <v>8.9868430728653692E-2</v>
      </c>
      <c r="I120" s="21"/>
      <c r="J120" s="22"/>
      <c r="K120" s="55">
        <f>IFERROR(K119/K116,0)</f>
        <v>1.6058643027616775</v>
      </c>
      <c r="L120" s="69">
        <f>IFERROR(E120-K120,0)</f>
        <v>0</v>
      </c>
      <c r="M120" s="73"/>
      <c r="N120" s="74"/>
    </row>
    <row r="121" spans="1:14" s="27" customFormat="1" ht="5.0999999999999996" customHeight="1" thickBot="1" x14ac:dyDescent="0.35">
      <c r="A121" s="5"/>
      <c r="B121" s="6"/>
      <c r="C121" s="7"/>
      <c r="D121" s="13"/>
      <c r="E121" s="14"/>
      <c r="F121" s="69"/>
      <c r="G121" s="13"/>
      <c r="H121" s="69"/>
      <c r="I121" s="21"/>
      <c r="J121" s="22"/>
      <c r="K121" s="54"/>
      <c r="L121" s="69"/>
      <c r="M121" s="73"/>
      <c r="N121" s="74"/>
    </row>
    <row r="122" spans="1:14" s="27" customFormat="1" ht="15" customHeight="1" thickBot="1" x14ac:dyDescent="0.35">
      <c r="A122" s="5"/>
      <c r="B122" s="6" t="s">
        <v>13</v>
      </c>
      <c r="C122" s="15">
        <f>IFERROR(C111/C116,0)</f>
        <v>85.226847058823537</v>
      </c>
      <c r="D122" s="15">
        <f>IFERROR(D111/D116,0)</f>
        <v>61.914183429935214</v>
      </c>
      <c r="E122" s="15">
        <f>IFERROR(E111/E116,0)</f>
        <v>61.914183429935214</v>
      </c>
      <c r="F122" s="69">
        <f>IFERROR(E122-C122,0)</f>
        <v>-23.312663628888323</v>
      </c>
      <c r="G122" s="15">
        <f>IFERROR(G111/G116,0)</f>
        <v>69.499200206398356</v>
      </c>
      <c r="H122" s="69">
        <f>IFERROR(E122-G122,0)</f>
        <v>-7.5850167764631422</v>
      </c>
      <c r="I122" s="21">
        <f>IFERROR(E122/C122-1,0)</f>
        <v>-0.2735366194269504</v>
      </c>
      <c r="J122" s="22">
        <f>IFERROR(E122/G122-1,0)</f>
        <v>-0.1091381879782386</v>
      </c>
      <c r="K122" s="55">
        <f>IFERROR(K111/K116,0)</f>
        <v>61.914183429935214</v>
      </c>
      <c r="L122" s="69">
        <f>IFERROR(E122-K122,0)</f>
        <v>0</v>
      </c>
      <c r="M122" s="73"/>
      <c r="N122" s="74"/>
    </row>
    <row r="123" spans="1:14" s="38" customFormat="1" ht="15" customHeight="1" thickBot="1" x14ac:dyDescent="0.35">
      <c r="A123" s="9"/>
      <c r="B123" s="10" t="s">
        <v>14</v>
      </c>
      <c r="C123" s="16">
        <f>IFERROR(C111/C115,0)</f>
        <v>64.465245828698556</v>
      </c>
      <c r="D123" s="16">
        <f>IFERROR(D111/D115,0)</f>
        <v>40.39917686318131</v>
      </c>
      <c r="E123" s="16">
        <f>IFERROR(E111/E115,0)</f>
        <v>40.39917686318131</v>
      </c>
      <c r="F123" s="70">
        <f t="shared" ref="F123:F124" si="46">IFERROR(E123-C123,0)</f>
        <v>-24.066068965517246</v>
      </c>
      <c r="G123" s="16">
        <f>IFERROR(G111/G115,0)</f>
        <v>29.964282536151281</v>
      </c>
      <c r="H123" s="70">
        <f t="shared" ref="H123:H124" si="47">IFERROR(E123-G123,0)</f>
        <v>10.43489432703003</v>
      </c>
      <c r="I123" s="20">
        <f>IFERROR(E123/C123-1,0)</f>
        <v>-0.37331850140566036</v>
      </c>
      <c r="J123" s="11">
        <f>IFERROR(E123/G123-1,0)</f>
        <v>0.34824442448907456</v>
      </c>
      <c r="K123" s="56">
        <f>IFERROR(K111/K115,0)</f>
        <v>40.39917686318131</v>
      </c>
      <c r="L123" s="70">
        <f>IFERROR(E123-K123,0)</f>
        <v>0</v>
      </c>
      <c r="M123" s="73"/>
      <c r="N123" s="74"/>
    </row>
    <row r="124" spans="1:14" ht="15" customHeight="1" thickBot="1" x14ac:dyDescent="0.35">
      <c r="A124" s="17"/>
      <c r="B124" s="18" t="s">
        <v>34</v>
      </c>
      <c r="C124" s="19">
        <f>IFERROR(C110/C116,0)</f>
        <v>100.64188941176471</v>
      </c>
      <c r="D124" s="19">
        <f>IFERROR(D110/D116,0)</f>
        <v>77.664285714285711</v>
      </c>
      <c r="E124" s="19">
        <f>IFERROR(E110/E116,0)</f>
        <v>77.664285714285711</v>
      </c>
      <c r="F124" s="72">
        <f t="shared" si="46"/>
        <v>-22.977603697478997</v>
      </c>
      <c r="G124" s="19">
        <f>IFERROR(G110/G116,0)</f>
        <v>83.960732714138302</v>
      </c>
      <c r="H124" s="72">
        <f t="shared" si="47"/>
        <v>-6.2964469998525914</v>
      </c>
      <c r="I124" s="25">
        <f>IFERROR(E124/C124-1,0)</f>
        <v>-0.22831053581942184</v>
      </c>
      <c r="J124" s="26">
        <f>IFERROR(E124/G124-1,0)</f>
        <v>-7.4992759070959369E-2</v>
      </c>
      <c r="K124" s="57">
        <f>IFERROR(K110/K116,0)</f>
        <v>77.664285714285711</v>
      </c>
      <c r="L124" s="72">
        <f>IFERROR(E124-K124,0)</f>
        <v>0</v>
      </c>
      <c r="M124" s="73"/>
      <c r="N124" s="74"/>
    </row>
    <row r="125" spans="1:14" s="27" customFormat="1" ht="15" customHeight="1" thickBot="1" x14ac:dyDescent="0.35">
      <c r="A125" s="1"/>
      <c r="B125" s="2" t="s">
        <v>16</v>
      </c>
      <c r="C125" s="3">
        <f>SUM(C126:C128)</f>
        <v>343515.45676470589</v>
      </c>
      <c r="D125" s="3">
        <f>SUM(D126:D128)</f>
        <v>331705.99000000017</v>
      </c>
      <c r="E125" s="4">
        <f>SUM(E126:E128)</f>
        <v>331705.99000000017</v>
      </c>
      <c r="F125" s="71">
        <f>IFERROR(SUM(F126:F128),0)</f>
        <v>-11809.466764705743</v>
      </c>
      <c r="G125" s="3">
        <f>SUM(G126:G128)</f>
        <v>191765.24000000002</v>
      </c>
      <c r="H125" s="71">
        <f>IFERROR(E125-G125,0)</f>
        <v>139940.75000000015</v>
      </c>
      <c r="I125" s="20">
        <f>IFERROR(E125/C125-1,0)</f>
        <v>-3.4378268960382541E-2</v>
      </c>
      <c r="J125" s="11">
        <f>IFERROR(E125/G125-1,0)</f>
        <v>0.72975034474443934</v>
      </c>
      <c r="K125" s="51">
        <f>SUM(K126:K128)</f>
        <v>331705.99000000005</v>
      </c>
      <c r="L125" s="71">
        <f>IFERROR(SUM(L126:L128),0)</f>
        <v>8.7311491370201111E-11</v>
      </c>
      <c r="M125" s="73"/>
      <c r="N125" s="74"/>
    </row>
    <row r="126" spans="1:14" s="27" customFormat="1" ht="15" customHeight="1" thickBot="1" x14ac:dyDescent="0.35">
      <c r="A126" s="5"/>
      <c r="B126" s="6" t="s">
        <v>5</v>
      </c>
      <c r="C126" s="45">
        <v>291736.14</v>
      </c>
      <c r="D126" s="45">
        <v>267681.01000000013</v>
      </c>
      <c r="E126" s="45">
        <v>267681.01000000013</v>
      </c>
      <c r="F126" s="67">
        <f>IFERROR(E126-C126,0)</f>
        <v>-24055.129999999888</v>
      </c>
      <c r="G126" s="45">
        <v>154266.85</v>
      </c>
      <c r="H126" s="67">
        <f t="shared" ref="H126:H128" si="48">IFERROR(E126-G126,0)</f>
        <v>113414.16000000012</v>
      </c>
      <c r="I126" s="21">
        <f t="shared" ref="I126:I128" si="49">IFERROR(E126/C126-1,0)</f>
        <v>-8.2455091097043631E-2</v>
      </c>
      <c r="J126" s="22">
        <f t="shared" ref="J126:J128" si="50">IFERROR(E126/G126-1,0)</f>
        <v>0.73518166735108759</v>
      </c>
      <c r="K126" s="52">
        <v>267681.01000000013</v>
      </c>
      <c r="L126" s="67">
        <f>IFERROR(E126-K126,0)</f>
        <v>0</v>
      </c>
      <c r="M126" s="73"/>
      <c r="N126" s="74"/>
    </row>
    <row r="127" spans="1:14" s="27" customFormat="1" ht="15" customHeight="1" thickBot="1" x14ac:dyDescent="0.35">
      <c r="A127" s="5"/>
      <c r="B127" s="6" t="s">
        <v>6</v>
      </c>
      <c r="C127" s="45">
        <v>34895.93</v>
      </c>
      <c r="D127" s="45">
        <v>36128.520000000011</v>
      </c>
      <c r="E127" s="45">
        <v>36128.520000000011</v>
      </c>
      <c r="F127" s="67">
        <f t="shared" ref="F127:F128" si="51">IFERROR(E127-C127,0)</f>
        <v>1232.5900000000111</v>
      </c>
      <c r="G127" s="45">
        <v>17418.580000000009</v>
      </c>
      <c r="H127" s="67">
        <f t="shared" si="48"/>
        <v>18709.940000000002</v>
      </c>
      <c r="I127" s="21">
        <f t="shared" si="49"/>
        <v>3.532188424266125E-2</v>
      </c>
      <c r="J127" s="22">
        <f t="shared" si="50"/>
        <v>1.0741369273499903</v>
      </c>
      <c r="K127" s="52">
        <v>36128.520000000026</v>
      </c>
      <c r="L127" s="67">
        <f>IFERROR(E127-K127,0)</f>
        <v>-1.4551915228366852E-11</v>
      </c>
      <c r="M127" s="73"/>
      <c r="N127" s="74"/>
    </row>
    <row r="128" spans="1:14" s="27" customFormat="1" ht="15" customHeight="1" thickBot="1" x14ac:dyDescent="0.35">
      <c r="A128" s="5"/>
      <c r="B128" s="6" t="s">
        <v>7</v>
      </c>
      <c r="C128" s="45">
        <v>16883.386764705898</v>
      </c>
      <c r="D128" s="45">
        <v>27896.460000000032</v>
      </c>
      <c r="E128" s="45">
        <v>27896.460000000032</v>
      </c>
      <c r="F128" s="67">
        <f t="shared" si="51"/>
        <v>11013.073235294134</v>
      </c>
      <c r="G128" s="45">
        <v>20079.810000000001</v>
      </c>
      <c r="H128" s="67">
        <f t="shared" si="48"/>
        <v>7816.6500000000306</v>
      </c>
      <c r="I128" s="21">
        <f t="shared" si="49"/>
        <v>0.65230237207599617</v>
      </c>
      <c r="J128" s="22">
        <f t="shared" si="50"/>
        <v>0.38927908182398285</v>
      </c>
      <c r="K128" s="52">
        <v>27896.45999999993</v>
      </c>
      <c r="L128" s="67">
        <f>IFERROR(E128-K128,0)</f>
        <v>1.0186340659856796E-10</v>
      </c>
      <c r="M128" s="73"/>
      <c r="N128" s="74"/>
    </row>
    <row r="129" spans="1:14" s="27" customFormat="1" ht="5.0999999999999996" customHeight="1" thickBot="1" x14ac:dyDescent="0.35">
      <c r="A129" s="5"/>
      <c r="B129" s="6"/>
      <c r="C129" s="7"/>
      <c r="D129" s="7"/>
      <c r="E129" s="8"/>
      <c r="F129" s="67"/>
      <c r="G129" s="7"/>
      <c r="H129" s="67"/>
      <c r="I129" s="21"/>
      <c r="J129" s="21"/>
      <c r="K129" s="53"/>
      <c r="L129" s="67"/>
      <c r="M129" s="73"/>
      <c r="N129" s="74"/>
    </row>
    <row r="130" spans="1:14" s="27" customFormat="1" ht="15" customHeight="1" thickBot="1" x14ac:dyDescent="0.35">
      <c r="A130" s="5"/>
      <c r="B130" s="6" t="s">
        <v>8</v>
      </c>
      <c r="C130" s="45">
        <v>4495</v>
      </c>
      <c r="D130" s="45">
        <v>4495</v>
      </c>
      <c r="E130" s="46">
        <v>4495</v>
      </c>
      <c r="F130" s="67">
        <f>IFERROR(E130-C130,0)</f>
        <v>0</v>
      </c>
      <c r="G130" s="45">
        <v>4495</v>
      </c>
      <c r="H130" s="67">
        <f>IFERROR(E130-G130,0)</f>
        <v>0</v>
      </c>
      <c r="I130" s="23"/>
      <c r="J130" s="24"/>
      <c r="K130" s="52">
        <v>4495</v>
      </c>
      <c r="L130" s="67">
        <f>IFERROR(E130-K130,0)</f>
        <v>0</v>
      </c>
      <c r="M130" s="73"/>
      <c r="N130" s="74"/>
    </row>
    <row r="131" spans="1:14" s="27" customFormat="1" ht="15" customHeight="1" thickBot="1" x14ac:dyDescent="0.35">
      <c r="A131" s="5"/>
      <c r="B131" s="6" t="s">
        <v>9</v>
      </c>
      <c r="C131" s="45">
        <v>3450</v>
      </c>
      <c r="D131" s="45">
        <v>3859</v>
      </c>
      <c r="E131" s="46">
        <v>3859</v>
      </c>
      <c r="F131" s="67">
        <f>IFERROR(E131-C131,0)</f>
        <v>409</v>
      </c>
      <c r="G131" s="45">
        <v>2279</v>
      </c>
      <c r="H131" s="67">
        <f>IFERROR(E131-G131,0)</f>
        <v>1580</v>
      </c>
      <c r="I131" s="23"/>
      <c r="J131" s="24"/>
      <c r="K131" s="52">
        <v>3859</v>
      </c>
      <c r="L131" s="67">
        <f>IFERROR(E131-K131,0)</f>
        <v>0</v>
      </c>
      <c r="M131" s="73"/>
      <c r="N131" s="74"/>
    </row>
    <row r="132" spans="1:14" s="38" customFormat="1" ht="15" customHeight="1" thickBot="1" x14ac:dyDescent="0.35">
      <c r="A132" s="9"/>
      <c r="B132" s="10" t="s">
        <v>10</v>
      </c>
      <c r="C132" s="11">
        <f>IFERROR(C131/C130,0)</f>
        <v>0.76751946607341492</v>
      </c>
      <c r="D132" s="11">
        <f>IFERROR(D131/D130,0)</f>
        <v>0.85850945494994435</v>
      </c>
      <c r="E132" s="11">
        <f>IFERROR(E131/E130,0)</f>
        <v>0.85850945494994435</v>
      </c>
      <c r="F132" s="68">
        <f>IFERROR(E132-C132,0)</f>
        <v>9.0989988876529426E-2</v>
      </c>
      <c r="G132" s="11">
        <f>IFERROR(G131/G130,0)</f>
        <v>0.50700778642936595</v>
      </c>
      <c r="H132" s="68">
        <f>IFERROR(E132-G132,0)</f>
        <v>0.3515016685205784</v>
      </c>
      <c r="I132" s="20">
        <f>IFERROR(E132/C132-1,0)</f>
        <v>0.11855072463768113</v>
      </c>
      <c r="J132" s="11">
        <f>IFERROR(E132/G132-1,0)</f>
        <v>0.69328652917946476</v>
      </c>
      <c r="K132" s="12">
        <f>IFERROR(K131/K130,0)</f>
        <v>0.85850945494994435</v>
      </c>
      <c r="L132" s="68">
        <f>IFERROR(E132-K132,0)</f>
        <v>0</v>
      </c>
      <c r="M132" s="73"/>
      <c r="N132" s="74"/>
    </row>
    <row r="133" spans="1:14" s="27" customFormat="1" ht="5.0999999999999996" customHeight="1" thickBot="1" x14ac:dyDescent="0.35">
      <c r="A133" s="5"/>
      <c r="B133" s="6"/>
      <c r="C133" s="7"/>
      <c r="D133" s="13"/>
      <c r="E133" s="14"/>
      <c r="F133" s="67"/>
      <c r="G133" s="13"/>
      <c r="H133" s="67"/>
      <c r="I133" s="21"/>
      <c r="J133" s="22"/>
      <c r="K133" s="54"/>
      <c r="L133" s="67"/>
      <c r="M133" s="73"/>
      <c r="N133" s="74"/>
    </row>
    <row r="134" spans="1:14" s="27" customFormat="1" ht="15" customHeight="1" thickBot="1" x14ac:dyDescent="0.35">
      <c r="A134" s="5"/>
      <c r="B134" s="6" t="s">
        <v>11</v>
      </c>
      <c r="C134" s="45">
        <v>6115.25</v>
      </c>
      <c r="D134" s="45">
        <v>6257</v>
      </c>
      <c r="E134" s="46">
        <v>6257</v>
      </c>
      <c r="F134" s="67">
        <f>IFERROR(E134-C134,0)</f>
        <v>141.75</v>
      </c>
      <c r="G134" s="45">
        <v>3454</v>
      </c>
      <c r="H134" s="67">
        <f>IFERROR(E134-G134,0)</f>
        <v>2803</v>
      </c>
      <c r="I134" s="21"/>
      <c r="J134" s="22"/>
      <c r="K134" s="52">
        <v>6257</v>
      </c>
      <c r="L134" s="67">
        <f>IFERROR(E134-K134,0)</f>
        <v>0</v>
      </c>
      <c r="M134" s="73"/>
      <c r="N134" s="74"/>
    </row>
    <row r="135" spans="1:14" s="27" customFormat="1" ht="15" customHeight="1" thickBot="1" x14ac:dyDescent="0.35">
      <c r="A135" s="5"/>
      <c r="B135" s="6" t="s">
        <v>12</v>
      </c>
      <c r="C135" s="15">
        <f>IFERROR(C134/C131,0)</f>
        <v>1.7725362318840581</v>
      </c>
      <c r="D135" s="15">
        <f>IFERROR(D134/D131,0)</f>
        <v>1.6214045089401399</v>
      </c>
      <c r="E135" s="15">
        <f>IFERROR(E134/E131,0)</f>
        <v>1.6214045089401399</v>
      </c>
      <c r="F135" s="69">
        <f>IFERROR(E135-C135,0)</f>
        <v>-0.15113172294391819</v>
      </c>
      <c r="G135" s="15">
        <f>IFERROR(G134/G131,0)</f>
        <v>1.5155770074594119</v>
      </c>
      <c r="H135" s="69">
        <f>IFERROR(E135-G135,0)</f>
        <v>0.10582750148072795</v>
      </c>
      <c r="I135" s="21"/>
      <c r="J135" s="22"/>
      <c r="K135" s="55">
        <f>IFERROR(K134/K131,0)</f>
        <v>1.6214045089401399</v>
      </c>
      <c r="L135" s="69">
        <f>IFERROR(E135-K135,0)</f>
        <v>0</v>
      </c>
      <c r="M135" s="73"/>
      <c r="N135" s="74"/>
    </row>
    <row r="136" spans="1:14" s="27" customFormat="1" ht="5.0999999999999996" customHeight="1" thickBot="1" x14ac:dyDescent="0.35">
      <c r="A136" s="5"/>
      <c r="B136" s="6"/>
      <c r="C136" s="7"/>
      <c r="D136" s="13"/>
      <c r="E136" s="14"/>
      <c r="F136" s="69"/>
      <c r="G136" s="13"/>
      <c r="H136" s="69"/>
      <c r="I136" s="21"/>
      <c r="J136" s="22"/>
      <c r="K136" s="54"/>
      <c r="L136" s="69"/>
      <c r="M136" s="73"/>
      <c r="N136" s="74"/>
    </row>
    <row r="137" spans="1:14" s="27" customFormat="1" ht="15" customHeight="1" thickBot="1" x14ac:dyDescent="0.35">
      <c r="A137" s="5"/>
      <c r="B137" s="6" t="s">
        <v>13</v>
      </c>
      <c r="C137" s="15">
        <f>IFERROR(C126/C131,0)</f>
        <v>84.561199999999999</v>
      </c>
      <c r="D137" s="15">
        <f>IFERROR(D126/D131,0)</f>
        <v>69.36538222337397</v>
      </c>
      <c r="E137" s="15">
        <f>IFERROR(E126/E131,0)</f>
        <v>69.36538222337397</v>
      </c>
      <c r="F137" s="69">
        <f>IFERROR(E137-C137,0)</f>
        <v>-15.195817776626029</v>
      </c>
      <c r="G137" s="15">
        <f>IFERROR(G126/G131,0)</f>
        <v>67.690587977182972</v>
      </c>
      <c r="H137" s="69">
        <f>IFERROR(E137-G137,0)</f>
        <v>1.6747942461909986</v>
      </c>
      <c r="I137" s="21">
        <f>IFERROR(E137/C137-1,0)</f>
        <v>-0.17970201199398816</v>
      </c>
      <c r="J137" s="22">
        <f>IFERROR(E137/G137-1,0)</f>
        <v>2.4741907202158409E-2</v>
      </c>
      <c r="K137" s="55">
        <f>IFERROR(K126/K131,0)</f>
        <v>69.36538222337397</v>
      </c>
      <c r="L137" s="69">
        <f>IFERROR(E137-K137,0)</f>
        <v>0</v>
      </c>
      <c r="M137" s="73"/>
      <c r="N137" s="74"/>
    </row>
    <row r="138" spans="1:14" s="38" customFormat="1" ht="15" customHeight="1" thickBot="1" x14ac:dyDescent="0.35">
      <c r="A138" s="9"/>
      <c r="B138" s="10" t="s">
        <v>14</v>
      </c>
      <c r="C138" s="16">
        <f>IFERROR(C126/C130,0)</f>
        <v>64.902367074527263</v>
      </c>
      <c r="D138" s="16">
        <f>IFERROR(D126/D130,0)</f>
        <v>59.550836484983343</v>
      </c>
      <c r="E138" s="16">
        <f>IFERROR(E126/E130,0)</f>
        <v>59.550836484983343</v>
      </c>
      <c r="F138" s="70">
        <f t="shared" ref="F138:F139" si="52">IFERROR(E138-C138,0)</f>
        <v>-5.3515305895439198</v>
      </c>
      <c r="G138" s="16">
        <f>IFERROR(G126/G130,0)</f>
        <v>34.319655172413796</v>
      </c>
      <c r="H138" s="70">
        <f t="shared" ref="H138:H139" si="53">IFERROR(E138-G138,0)</f>
        <v>25.231181312569547</v>
      </c>
      <c r="I138" s="20">
        <f>IFERROR(E138/C138-1,0)</f>
        <v>-8.2455091097043742E-2</v>
      </c>
      <c r="J138" s="11">
        <f>IFERROR(E138/G138-1,0)</f>
        <v>0.73518166735108736</v>
      </c>
      <c r="K138" s="56">
        <f>IFERROR(K126/K130,0)</f>
        <v>59.550836484983343</v>
      </c>
      <c r="L138" s="70">
        <f>IFERROR(E138-K138,0)</f>
        <v>0</v>
      </c>
      <c r="M138" s="73"/>
      <c r="N138" s="74"/>
    </row>
    <row r="139" spans="1:14" ht="15" customHeight="1" thickBot="1" x14ac:dyDescent="0.35">
      <c r="A139" s="17"/>
      <c r="B139" s="18" t="s">
        <v>34</v>
      </c>
      <c r="C139" s="19">
        <f>IFERROR(C125/C131,0)</f>
        <v>99.569697612958223</v>
      </c>
      <c r="D139" s="19">
        <f>IFERROR(D125/D131,0)</f>
        <v>85.95646281420062</v>
      </c>
      <c r="E139" s="19">
        <f>IFERROR(E125/E131,0)</f>
        <v>85.95646281420062</v>
      </c>
      <c r="F139" s="72">
        <f t="shared" si="52"/>
        <v>-13.613234798757603</v>
      </c>
      <c r="G139" s="19">
        <f>IFERROR(G125/G131,0)</f>
        <v>84.144466871434844</v>
      </c>
      <c r="H139" s="72">
        <f t="shared" si="53"/>
        <v>1.8119959427657761</v>
      </c>
      <c r="I139" s="25">
        <f>IFERROR(E139/C139-1,0)</f>
        <v>-0.13672066025222063</v>
      </c>
      <c r="J139" s="26">
        <f>IFERROR(E139/G139-1,0)</f>
        <v>2.1534344564026364E-2</v>
      </c>
      <c r="K139" s="57">
        <f>IFERROR(K125/K131,0)</f>
        <v>85.956462814200577</v>
      </c>
      <c r="L139" s="72">
        <f>IFERROR(E139-K139,0)</f>
        <v>4.2632564145606011E-14</v>
      </c>
      <c r="M139" s="73"/>
      <c r="N139" s="74"/>
    </row>
    <row r="140" spans="1:14" s="27" customFormat="1" ht="15" customHeight="1" thickBot="1" x14ac:dyDescent="0.35">
      <c r="A140" s="1"/>
      <c r="B140" s="2" t="s">
        <v>17</v>
      </c>
      <c r="C140" s="3">
        <f>SUM(C141:C143)</f>
        <v>518258.42658823531</v>
      </c>
      <c r="D140" s="3">
        <f>SUM(D141:D143)</f>
        <v>295101.94</v>
      </c>
      <c r="E140" s="4">
        <f>SUM(E141:E143)</f>
        <v>295101.94</v>
      </c>
      <c r="F140" s="71">
        <f>IFERROR(SUM(F141:F143),0)</f>
        <v>-223156.48658823525</v>
      </c>
      <c r="G140" s="3">
        <f>SUM(G141:G143)</f>
        <v>172622.85</v>
      </c>
      <c r="H140" s="71">
        <f>IFERROR(E140-G140,0)</f>
        <v>122479.09</v>
      </c>
      <c r="I140" s="20">
        <f>IFERROR(E140/C140-1,0)</f>
        <v>-0.43058921020793506</v>
      </c>
      <c r="J140" s="11">
        <f>IFERROR(E140/G140-1,0)</f>
        <v>0.70951840964275581</v>
      </c>
      <c r="K140" s="51">
        <f>SUM(K141:K143)</f>
        <v>295101.94</v>
      </c>
      <c r="L140" s="71">
        <f>IFERROR(SUM(L141:L143),0)</f>
        <v>2.1827872842550278E-11</v>
      </c>
      <c r="M140" s="73" t="s">
        <v>169</v>
      </c>
      <c r="N140" s="74"/>
    </row>
    <row r="141" spans="1:14" s="27" customFormat="1" ht="15" customHeight="1" thickBot="1" x14ac:dyDescent="0.35">
      <c r="A141" s="5"/>
      <c r="B141" s="6" t="s">
        <v>5</v>
      </c>
      <c r="C141" s="45">
        <v>460624.79</v>
      </c>
      <c r="D141" s="45">
        <v>246916.59</v>
      </c>
      <c r="E141" s="45">
        <v>246916.59</v>
      </c>
      <c r="F141" s="67">
        <f>IFERROR(E141-C141,0)</f>
        <v>-213708.19999999998</v>
      </c>
      <c r="G141" s="45">
        <v>141278.93</v>
      </c>
      <c r="H141" s="67">
        <f t="shared" ref="H141:H143" si="54">IFERROR(E141-G141,0)</f>
        <v>105637.66</v>
      </c>
      <c r="I141" s="21">
        <f t="shared" ref="I141:I143" si="55">IFERROR(E141/C141-1,0)</f>
        <v>-0.46395288451583339</v>
      </c>
      <c r="J141" s="22">
        <f t="shared" ref="J141:J143" si="56">IFERROR(E141/G141-1,0)</f>
        <v>0.74772409445626464</v>
      </c>
      <c r="K141" s="52">
        <v>246916.59</v>
      </c>
      <c r="L141" s="67">
        <f>IFERROR(E141-K141,0)</f>
        <v>0</v>
      </c>
      <c r="M141" s="73"/>
      <c r="N141" s="74"/>
    </row>
    <row r="142" spans="1:14" s="27" customFormat="1" ht="15" customHeight="1" thickBot="1" x14ac:dyDescent="0.35">
      <c r="A142" s="5"/>
      <c r="B142" s="6" t="s">
        <v>6</v>
      </c>
      <c r="C142" s="45">
        <v>36001.455999999998</v>
      </c>
      <c r="D142" s="45">
        <v>28005.64</v>
      </c>
      <c r="E142" s="45">
        <v>28005.64</v>
      </c>
      <c r="F142" s="67">
        <f t="shared" ref="F142:F143" si="57">IFERROR(E142-C142,0)</f>
        <v>-7995.8159999999989</v>
      </c>
      <c r="G142" s="45">
        <v>15776.88</v>
      </c>
      <c r="H142" s="67">
        <f t="shared" si="54"/>
        <v>12228.76</v>
      </c>
      <c r="I142" s="21">
        <f t="shared" si="55"/>
        <v>-0.22209701740951804</v>
      </c>
      <c r="J142" s="22">
        <f t="shared" si="56"/>
        <v>0.77510635816460538</v>
      </c>
      <c r="K142" s="52">
        <v>28005.639999999989</v>
      </c>
      <c r="L142" s="67">
        <f>IFERROR(E142-K142,0)</f>
        <v>1.0913936421275139E-11</v>
      </c>
      <c r="M142" s="73"/>
      <c r="N142" s="74"/>
    </row>
    <row r="143" spans="1:14" s="27" customFormat="1" ht="15" customHeight="1" thickBot="1" x14ac:dyDescent="0.35">
      <c r="A143" s="5"/>
      <c r="B143" s="6" t="s">
        <v>7</v>
      </c>
      <c r="C143" s="45">
        <v>21632.1805882353</v>
      </c>
      <c r="D143" s="45">
        <v>20179.710000000021</v>
      </c>
      <c r="E143" s="45">
        <v>20179.710000000021</v>
      </c>
      <c r="F143" s="67">
        <f t="shared" si="57"/>
        <v>-1452.4705882352791</v>
      </c>
      <c r="G143" s="45">
        <v>15567.04</v>
      </c>
      <c r="H143" s="67">
        <f t="shared" si="54"/>
        <v>4612.6700000000201</v>
      </c>
      <c r="I143" s="21">
        <f t="shared" si="55"/>
        <v>-6.714397479767753E-2</v>
      </c>
      <c r="J143" s="22">
        <f t="shared" si="56"/>
        <v>0.29631002425637876</v>
      </c>
      <c r="K143" s="52">
        <v>20179.71000000001</v>
      </c>
      <c r="L143" s="67">
        <f>IFERROR(E143-K143,0)</f>
        <v>1.0913936421275139E-11</v>
      </c>
      <c r="M143" s="73"/>
      <c r="N143" s="74"/>
    </row>
    <row r="144" spans="1:14" s="27" customFormat="1" ht="5.0999999999999996" customHeight="1" thickBot="1" x14ac:dyDescent="0.35">
      <c r="A144" s="5"/>
      <c r="B144" s="6"/>
      <c r="C144" s="7"/>
      <c r="D144" s="7"/>
      <c r="E144" s="8"/>
      <c r="F144" s="67"/>
      <c r="G144" s="7"/>
      <c r="H144" s="67"/>
      <c r="I144" s="21"/>
      <c r="J144" s="21"/>
      <c r="K144" s="53"/>
      <c r="L144" s="67"/>
      <c r="M144" s="73"/>
      <c r="N144" s="74"/>
    </row>
    <row r="145" spans="1:14" s="27" customFormat="1" ht="15" customHeight="1" thickBot="1" x14ac:dyDescent="0.35">
      <c r="A145" s="5"/>
      <c r="B145" s="6" t="s">
        <v>8</v>
      </c>
      <c r="C145" s="45">
        <v>4350</v>
      </c>
      <c r="D145" s="45">
        <v>4350</v>
      </c>
      <c r="E145" s="46">
        <v>4350</v>
      </c>
      <c r="F145" s="67">
        <f>IFERROR(E145-C145,0)</f>
        <v>0</v>
      </c>
      <c r="G145" s="45">
        <v>4350</v>
      </c>
      <c r="H145" s="67">
        <f>IFERROR(E145-G145,0)</f>
        <v>0</v>
      </c>
      <c r="I145" s="23"/>
      <c r="J145" s="24"/>
      <c r="K145" s="52">
        <v>4350</v>
      </c>
      <c r="L145" s="67">
        <f>IFERROR(E145-K145,0)</f>
        <v>0</v>
      </c>
      <c r="M145" s="73"/>
      <c r="N145" s="74"/>
    </row>
    <row r="146" spans="1:14" s="27" customFormat="1" ht="15" customHeight="1" thickBot="1" x14ac:dyDescent="0.35">
      <c r="A146" s="5"/>
      <c r="B146" s="6" t="s">
        <v>9</v>
      </c>
      <c r="C146" s="45">
        <v>3700</v>
      </c>
      <c r="D146" s="45">
        <v>2988</v>
      </c>
      <c r="E146" s="46">
        <v>2988</v>
      </c>
      <c r="F146" s="67">
        <f>IFERROR(E146-C146,0)</f>
        <v>-712</v>
      </c>
      <c r="G146" s="45">
        <v>2094</v>
      </c>
      <c r="H146" s="67">
        <f>IFERROR(E146-G146,0)</f>
        <v>894</v>
      </c>
      <c r="I146" s="23"/>
      <c r="J146" s="24"/>
      <c r="K146" s="52">
        <v>2988</v>
      </c>
      <c r="L146" s="67">
        <f>IFERROR(E146-K146,0)</f>
        <v>0</v>
      </c>
      <c r="M146" s="73"/>
      <c r="N146" s="74"/>
    </row>
    <row r="147" spans="1:14" s="38" customFormat="1" ht="15" customHeight="1" thickBot="1" x14ac:dyDescent="0.35">
      <c r="A147" s="9"/>
      <c r="B147" s="10" t="s">
        <v>10</v>
      </c>
      <c r="C147" s="11">
        <f>IFERROR(C146/C145,0)</f>
        <v>0.85057471264367812</v>
      </c>
      <c r="D147" s="11">
        <f>IFERROR(D146/D145,0)</f>
        <v>0.68689655172413788</v>
      </c>
      <c r="E147" s="11">
        <f>IFERROR(E146/E145,0)</f>
        <v>0.68689655172413788</v>
      </c>
      <c r="F147" s="68">
        <f>IFERROR(E147-C147,0)</f>
        <v>-0.16367816091954024</v>
      </c>
      <c r="G147" s="11">
        <f>IFERROR(G146/G145,0)</f>
        <v>0.48137931034482756</v>
      </c>
      <c r="H147" s="68">
        <f>IFERROR(E147-G147,0)</f>
        <v>0.20551724137931032</v>
      </c>
      <c r="I147" s="20">
        <f>IFERROR(E147/C147-1,0)</f>
        <v>-0.19243243243243247</v>
      </c>
      <c r="J147" s="11">
        <f>IFERROR(E147/G147-1,0)</f>
        <v>0.42693409742120347</v>
      </c>
      <c r="K147" s="12">
        <f>IFERROR(K146/K145,0)</f>
        <v>0.68689655172413788</v>
      </c>
      <c r="L147" s="68">
        <f>IFERROR(E147-K147,0)</f>
        <v>0</v>
      </c>
      <c r="M147" s="73"/>
      <c r="N147" s="74"/>
    </row>
    <row r="148" spans="1:14" s="27" customFormat="1" ht="5.0999999999999996" customHeight="1" thickBot="1" x14ac:dyDescent="0.35">
      <c r="A148" s="5"/>
      <c r="B148" s="6"/>
      <c r="C148" s="7"/>
      <c r="D148" s="13"/>
      <c r="E148" s="14"/>
      <c r="F148" s="67"/>
      <c r="G148" s="13"/>
      <c r="H148" s="67"/>
      <c r="I148" s="21"/>
      <c r="J148" s="22"/>
      <c r="K148" s="54"/>
      <c r="L148" s="67"/>
      <c r="M148" s="73"/>
      <c r="N148" s="74"/>
    </row>
    <row r="149" spans="1:14" s="27" customFormat="1" ht="15" customHeight="1" thickBot="1" x14ac:dyDescent="0.35">
      <c r="A149" s="5"/>
      <c r="B149" s="6" t="s">
        <v>11</v>
      </c>
      <c r="C149" s="45">
        <v>5767.75</v>
      </c>
      <c r="D149" s="45">
        <v>4741</v>
      </c>
      <c r="E149" s="46">
        <v>4741</v>
      </c>
      <c r="F149" s="67">
        <f>IFERROR(E149-C149,0)</f>
        <v>-1026.75</v>
      </c>
      <c r="G149" s="45">
        <v>3022</v>
      </c>
      <c r="H149" s="67">
        <f>IFERROR(E149-G149,0)</f>
        <v>1719</v>
      </c>
      <c r="I149" s="21"/>
      <c r="J149" s="22"/>
      <c r="K149" s="52">
        <v>4741</v>
      </c>
      <c r="L149" s="67">
        <f>IFERROR(E149-K149,0)</f>
        <v>0</v>
      </c>
      <c r="M149" s="73"/>
      <c r="N149" s="74"/>
    </row>
    <row r="150" spans="1:14" s="27" customFormat="1" ht="15" customHeight="1" thickBot="1" x14ac:dyDescent="0.35">
      <c r="A150" s="5"/>
      <c r="B150" s="6" t="s">
        <v>12</v>
      </c>
      <c r="C150" s="15">
        <f>IFERROR(C149/C146,0)</f>
        <v>1.5588513513513513</v>
      </c>
      <c r="D150" s="15">
        <f>IFERROR(D149/D146,0)</f>
        <v>1.5866800535475234</v>
      </c>
      <c r="E150" s="15">
        <f>IFERROR(E149/E146,0)</f>
        <v>1.5866800535475234</v>
      </c>
      <c r="F150" s="69">
        <f>IFERROR(E150-C150,0)</f>
        <v>2.7828702196172062E-2</v>
      </c>
      <c r="G150" s="15">
        <f>IFERROR(G149/G146,0)</f>
        <v>1.4431709646609361</v>
      </c>
      <c r="H150" s="69">
        <f>IFERROR(E150-G150,0)</f>
        <v>0.14350908888658731</v>
      </c>
      <c r="I150" s="21"/>
      <c r="J150" s="22"/>
      <c r="K150" s="55">
        <f>IFERROR(K149/K146,0)</f>
        <v>1.5866800535475234</v>
      </c>
      <c r="L150" s="69">
        <f>IFERROR(E150-K150,0)</f>
        <v>0</v>
      </c>
      <c r="M150" s="73"/>
      <c r="N150" s="74"/>
    </row>
    <row r="151" spans="1:14" s="27" customFormat="1" ht="5.0999999999999996" customHeight="1" thickBot="1" x14ac:dyDescent="0.35">
      <c r="A151" s="5"/>
      <c r="B151" s="6"/>
      <c r="C151" s="7"/>
      <c r="D151" s="13"/>
      <c r="E151" s="14"/>
      <c r="F151" s="69"/>
      <c r="G151" s="13"/>
      <c r="H151" s="69"/>
      <c r="I151" s="21"/>
      <c r="J151" s="22"/>
      <c r="K151" s="54"/>
      <c r="L151" s="69"/>
      <c r="M151" s="73"/>
      <c r="N151" s="74"/>
    </row>
    <row r="152" spans="1:14" s="27" customFormat="1" ht="15" customHeight="1" thickBot="1" x14ac:dyDescent="0.35">
      <c r="A152" s="5"/>
      <c r="B152" s="6" t="s">
        <v>13</v>
      </c>
      <c r="C152" s="15">
        <f>IFERROR(C141/C146,0)</f>
        <v>124.49318648648648</v>
      </c>
      <c r="D152" s="15">
        <f>IFERROR(D141/D146,0)</f>
        <v>82.636074297188756</v>
      </c>
      <c r="E152" s="15">
        <f>IFERROR(E141/E146,0)</f>
        <v>82.636074297188756</v>
      </c>
      <c r="F152" s="69">
        <f>IFERROR(E152-C152,0)</f>
        <v>-41.857112189297723</v>
      </c>
      <c r="G152" s="15">
        <f>IFERROR(G141/G146,0)</f>
        <v>67.468447946513848</v>
      </c>
      <c r="H152" s="69">
        <f>IFERROR(E152-G152,0)</f>
        <v>15.167626350674908</v>
      </c>
      <c r="I152" s="21">
        <f>IFERROR(E152/C152-1,0)</f>
        <v>-0.33622010465481367</v>
      </c>
      <c r="J152" s="22">
        <f>IFERROR(E152/G152-1,0)</f>
        <v>0.22481066057276378</v>
      </c>
      <c r="K152" s="55">
        <f>IFERROR(K141/K146,0)</f>
        <v>82.636074297188756</v>
      </c>
      <c r="L152" s="69">
        <f>IFERROR(E152-K152,0)</f>
        <v>0</v>
      </c>
      <c r="M152" s="73"/>
      <c r="N152" s="74"/>
    </row>
    <row r="153" spans="1:14" s="38" customFormat="1" ht="15" customHeight="1" thickBot="1" x14ac:dyDescent="0.35">
      <c r="A153" s="9"/>
      <c r="B153" s="10" t="s">
        <v>14</v>
      </c>
      <c r="C153" s="16">
        <f>IFERROR(C141/C145,0)</f>
        <v>105.89075632183908</v>
      </c>
      <c r="D153" s="16">
        <f>IFERROR(D141/D145,0)</f>
        <v>56.762434482758621</v>
      </c>
      <c r="E153" s="16">
        <f>IFERROR(E141/E145,0)</f>
        <v>56.762434482758621</v>
      </c>
      <c r="F153" s="70">
        <f t="shared" ref="F153:F154" si="58">IFERROR(E153-C153,0)</f>
        <v>-49.128321839080456</v>
      </c>
      <c r="G153" s="16">
        <f>IFERROR(G141/G145,0)</f>
        <v>32.477914942528734</v>
      </c>
      <c r="H153" s="70">
        <f t="shared" ref="H153:H154" si="59">IFERROR(E153-G153,0)</f>
        <v>24.284519540229887</v>
      </c>
      <c r="I153" s="20">
        <f>IFERROR(E153/C153-1,0)</f>
        <v>-0.46395288451583339</v>
      </c>
      <c r="J153" s="11">
        <f>IFERROR(E153/G153-1,0)</f>
        <v>0.74772409445626464</v>
      </c>
      <c r="K153" s="56">
        <f>IFERROR(K141/K145,0)</f>
        <v>56.762434482758621</v>
      </c>
      <c r="L153" s="70">
        <f>IFERROR(E153-K153,0)</f>
        <v>0</v>
      </c>
      <c r="M153" s="73"/>
      <c r="N153" s="74"/>
    </row>
    <row r="154" spans="1:14" ht="15" customHeight="1" thickBot="1" x14ac:dyDescent="0.35">
      <c r="A154" s="17"/>
      <c r="B154" s="18" t="s">
        <v>34</v>
      </c>
      <c r="C154" s="19">
        <f>IFERROR(C140/C146,0)</f>
        <v>140.06984502384739</v>
      </c>
      <c r="D154" s="19">
        <f>IFERROR(D140/D146,0)</f>
        <v>98.762362784471222</v>
      </c>
      <c r="E154" s="19">
        <f>IFERROR(E140/E146,0)</f>
        <v>98.762362784471222</v>
      </c>
      <c r="F154" s="72">
        <f t="shared" si="58"/>
        <v>-41.307482239376171</v>
      </c>
      <c r="G154" s="19">
        <f>IFERROR(G140/G146,0)</f>
        <v>82.43689111747851</v>
      </c>
      <c r="H154" s="72">
        <f t="shared" si="59"/>
        <v>16.325471666992712</v>
      </c>
      <c r="I154" s="25">
        <f>IFERROR(E154/C154-1,0)</f>
        <v>-0.29490631786123145</v>
      </c>
      <c r="J154" s="26">
        <f>IFERROR(E154/G154-1,0)</f>
        <v>0.1980359939062688</v>
      </c>
      <c r="K154" s="57">
        <f>IFERROR(K140/K146,0)</f>
        <v>98.762362784471222</v>
      </c>
      <c r="L154" s="72">
        <f>IFERROR(E154-K154,0)</f>
        <v>0</v>
      </c>
      <c r="M154" s="73"/>
      <c r="N154" s="74"/>
    </row>
    <row r="155" spans="1:14" s="27" customFormat="1" ht="15" customHeight="1" thickBot="1" x14ac:dyDescent="0.35">
      <c r="A155" s="1"/>
      <c r="B155" s="2" t="s">
        <v>18</v>
      </c>
      <c r="C155" s="3">
        <f>SUM(C156:C158)</f>
        <v>414169.18858823529</v>
      </c>
      <c r="D155" s="3">
        <f>SUM(D156:D158)</f>
        <v>379996.65</v>
      </c>
      <c r="E155" s="4">
        <f>SUM(E156:E158)</f>
        <v>379996.65</v>
      </c>
      <c r="F155" s="71">
        <f>IFERROR(SUM(F156:F158),0)</f>
        <v>-34172.5385882353</v>
      </c>
      <c r="G155" s="3">
        <f>SUM(G156:G158)</f>
        <v>64197.74</v>
      </c>
      <c r="H155" s="71">
        <f>IFERROR(E155-G155,0)</f>
        <v>315798.91000000003</v>
      </c>
      <c r="I155" s="20">
        <f>IFERROR(E155/C155-1,0)</f>
        <v>-8.2508645089505728E-2</v>
      </c>
      <c r="J155" s="11">
        <f>IFERROR(E155/G155-1,0)</f>
        <v>4.9191593037387307</v>
      </c>
      <c r="K155" s="51">
        <f>SUM(K156:K158)</f>
        <v>379996.64999999997</v>
      </c>
      <c r="L155" s="71">
        <f>IFERROR(SUM(L156:L158),0)</f>
        <v>7.2759576141834259E-11</v>
      </c>
      <c r="M155" s="73"/>
      <c r="N155" s="74"/>
    </row>
    <row r="156" spans="1:14" s="27" customFormat="1" ht="15" customHeight="1" thickBot="1" x14ac:dyDescent="0.35">
      <c r="A156" s="5"/>
      <c r="B156" s="6" t="s">
        <v>5</v>
      </c>
      <c r="C156" s="45">
        <v>368835</v>
      </c>
      <c r="D156" s="45">
        <v>312381.96000000002</v>
      </c>
      <c r="E156" s="45">
        <v>312381.96000000002</v>
      </c>
      <c r="F156" s="67">
        <f>IFERROR(E156-C156,0)</f>
        <v>-56453.039999999979</v>
      </c>
      <c r="G156" s="45">
        <v>48967.47</v>
      </c>
      <c r="H156" s="67">
        <f t="shared" ref="H156:H158" si="60">IFERROR(E156-G156,0)</f>
        <v>263414.49</v>
      </c>
      <c r="I156" s="21">
        <f t="shared" ref="I156:I158" si="61">IFERROR(E156/C156-1,0)</f>
        <v>-0.15305770873154656</v>
      </c>
      <c r="J156" s="22">
        <f t="shared" ref="J156:J158" si="62">IFERROR(E156/G156-1,0)</f>
        <v>5.3793771661063969</v>
      </c>
      <c r="K156" s="52">
        <v>312381.96000000002</v>
      </c>
      <c r="L156" s="67">
        <f>IFERROR(E156-K156,0)</f>
        <v>0</v>
      </c>
      <c r="M156" s="73"/>
      <c r="N156" s="74"/>
    </row>
    <row r="157" spans="1:14" s="27" customFormat="1" ht="15" customHeight="1" thickBot="1" x14ac:dyDescent="0.35">
      <c r="A157" s="5"/>
      <c r="B157" s="6" t="s">
        <v>6</v>
      </c>
      <c r="C157" s="45">
        <v>24354.317999999999</v>
      </c>
      <c r="D157" s="45">
        <v>43729.119999999995</v>
      </c>
      <c r="E157" s="45">
        <v>43729.119999999995</v>
      </c>
      <c r="F157" s="67">
        <f t="shared" ref="F157:F158" si="63">IFERROR(E157-C157,0)</f>
        <v>19374.801999999996</v>
      </c>
      <c r="G157" s="45">
        <v>6395.22</v>
      </c>
      <c r="H157" s="67">
        <f t="shared" si="60"/>
        <v>37333.899999999994</v>
      </c>
      <c r="I157" s="21">
        <f t="shared" si="61"/>
        <v>0.79553868024553176</v>
      </c>
      <c r="J157" s="22">
        <f t="shared" si="62"/>
        <v>5.8377819684076533</v>
      </c>
      <c r="K157" s="52">
        <v>43729.119999999981</v>
      </c>
      <c r="L157" s="67">
        <f>IFERROR(E157-K157,0)</f>
        <v>1.4551915228366852E-11</v>
      </c>
      <c r="M157" s="73"/>
      <c r="N157" s="74"/>
    </row>
    <row r="158" spans="1:14" s="27" customFormat="1" ht="15" customHeight="1" thickBot="1" x14ac:dyDescent="0.35">
      <c r="A158" s="5"/>
      <c r="B158" s="6" t="s">
        <v>7</v>
      </c>
      <c r="C158" s="45">
        <v>20979.870588235302</v>
      </c>
      <c r="D158" s="45">
        <v>23885.569999999989</v>
      </c>
      <c r="E158" s="45">
        <v>23885.569999999989</v>
      </c>
      <c r="F158" s="67">
        <f t="shared" si="63"/>
        <v>2905.6994117646864</v>
      </c>
      <c r="G158" s="45">
        <v>8835.0499999999975</v>
      </c>
      <c r="H158" s="67">
        <f t="shared" si="60"/>
        <v>15050.519999999991</v>
      </c>
      <c r="I158" s="21">
        <f t="shared" si="61"/>
        <v>0.13849939634013242</v>
      </c>
      <c r="J158" s="22">
        <f t="shared" si="62"/>
        <v>1.7035013950119122</v>
      </c>
      <c r="K158" s="52">
        <v>23885.569999999931</v>
      </c>
      <c r="L158" s="67">
        <f>IFERROR(E158-K158,0)</f>
        <v>5.8207660913467407E-11</v>
      </c>
      <c r="M158" s="73"/>
      <c r="N158" s="74"/>
    </row>
    <row r="159" spans="1:14" s="27" customFormat="1" ht="5.0999999999999996" customHeight="1" thickBot="1" x14ac:dyDescent="0.35">
      <c r="A159" s="5"/>
      <c r="B159" s="6"/>
      <c r="C159" s="7"/>
      <c r="D159" s="7"/>
      <c r="E159" s="8"/>
      <c r="F159" s="67"/>
      <c r="G159" s="7"/>
      <c r="H159" s="67"/>
      <c r="I159" s="21"/>
      <c r="J159" s="21"/>
      <c r="K159" s="53"/>
      <c r="L159" s="67"/>
      <c r="M159" s="73"/>
      <c r="N159" s="74"/>
    </row>
    <row r="160" spans="1:14" s="27" customFormat="1" ht="15" customHeight="1" thickBot="1" x14ac:dyDescent="0.35">
      <c r="A160" s="5"/>
      <c r="B160" s="6" t="s">
        <v>8</v>
      </c>
      <c r="C160" s="45">
        <v>4495</v>
      </c>
      <c r="D160" s="45">
        <v>4495</v>
      </c>
      <c r="E160" s="46">
        <v>4495</v>
      </c>
      <c r="F160" s="67">
        <f>IFERROR(E160-C160,0)</f>
        <v>0</v>
      </c>
      <c r="G160" s="45">
        <v>4495</v>
      </c>
      <c r="H160" s="67">
        <f>IFERROR(E160-G160,0)</f>
        <v>0</v>
      </c>
      <c r="I160" s="23"/>
      <c r="J160" s="24"/>
      <c r="K160" s="52">
        <v>4495</v>
      </c>
      <c r="L160" s="67">
        <f>IFERROR(E160-K160,0)</f>
        <v>0</v>
      </c>
      <c r="M160" s="73"/>
      <c r="N160" s="74"/>
    </row>
    <row r="161" spans="1:14" s="27" customFormat="1" ht="15" customHeight="1" thickBot="1" x14ac:dyDescent="0.35">
      <c r="A161" s="5"/>
      <c r="B161" s="6" t="s">
        <v>9</v>
      </c>
      <c r="C161" s="45">
        <v>3700</v>
      </c>
      <c r="D161" s="45">
        <v>3870</v>
      </c>
      <c r="E161" s="46">
        <v>3870</v>
      </c>
      <c r="F161" s="67">
        <f>IFERROR(E161-C161,0)</f>
        <v>170</v>
      </c>
      <c r="G161" s="45">
        <v>761</v>
      </c>
      <c r="H161" s="67">
        <f>IFERROR(E161-G161,0)</f>
        <v>3109</v>
      </c>
      <c r="I161" s="23"/>
      <c r="J161" s="24"/>
      <c r="K161" s="52">
        <v>3870</v>
      </c>
      <c r="L161" s="67">
        <f>IFERROR(E161-K161,0)</f>
        <v>0</v>
      </c>
      <c r="M161" s="73"/>
      <c r="N161" s="74"/>
    </row>
    <row r="162" spans="1:14" s="38" customFormat="1" ht="15" customHeight="1" thickBot="1" x14ac:dyDescent="0.35">
      <c r="A162" s="9"/>
      <c r="B162" s="10" t="s">
        <v>10</v>
      </c>
      <c r="C162" s="11">
        <f>IFERROR(C161/C160,0)</f>
        <v>0.82313681868743049</v>
      </c>
      <c r="D162" s="11">
        <f>IFERROR(D161/D160,0)</f>
        <v>0.86095661846496108</v>
      </c>
      <c r="E162" s="11">
        <f>IFERROR(E161/E160,0)</f>
        <v>0.86095661846496108</v>
      </c>
      <c r="F162" s="68">
        <f>IFERROR(E162-C162,0)</f>
        <v>3.7819799777530583E-2</v>
      </c>
      <c r="G162" s="11">
        <f>IFERROR(G161/G160,0)</f>
        <v>0.16929922135706341</v>
      </c>
      <c r="H162" s="68">
        <f>IFERROR(E162-G162,0)</f>
        <v>0.69165739710789764</v>
      </c>
      <c r="I162" s="20">
        <f>IFERROR(E162/C162-1,0)</f>
        <v>4.5945945945945921E-2</v>
      </c>
      <c r="J162" s="11">
        <f>IFERROR(E162/G162-1,0)</f>
        <v>4.0854139290407359</v>
      </c>
      <c r="K162" s="12">
        <f>IFERROR(K161/K160,0)</f>
        <v>0.86095661846496108</v>
      </c>
      <c r="L162" s="68">
        <f>IFERROR(E162-K162,0)</f>
        <v>0</v>
      </c>
      <c r="M162" s="73"/>
      <c r="N162" s="74"/>
    </row>
    <row r="163" spans="1:14" s="27" customFormat="1" ht="5.0999999999999996" customHeight="1" thickBot="1" x14ac:dyDescent="0.35">
      <c r="A163" s="5"/>
      <c r="B163" s="6"/>
      <c r="C163" s="7"/>
      <c r="D163" s="13"/>
      <c r="E163" s="14"/>
      <c r="F163" s="67"/>
      <c r="G163" s="13"/>
      <c r="H163" s="67"/>
      <c r="I163" s="21"/>
      <c r="J163" s="22"/>
      <c r="K163" s="54"/>
      <c r="L163" s="67"/>
      <c r="M163" s="73"/>
      <c r="N163" s="74"/>
    </row>
    <row r="164" spans="1:14" s="27" customFormat="1" ht="15" customHeight="1" thickBot="1" x14ac:dyDescent="0.35">
      <c r="A164" s="5"/>
      <c r="B164" s="6" t="s">
        <v>11</v>
      </c>
      <c r="C164" s="45">
        <v>3999.3500000499998</v>
      </c>
      <c r="D164" s="45">
        <v>6204</v>
      </c>
      <c r="E164" s="46">
        <v>6204</v>
      </c>
      <c r="F164" s="67">
        <f>IFERROR(E164-C164,0)</f>
        <v>2204.6499999500002</v>
      </c>
      <c r="G164" s="45">
        <v>1139</v>
      </c>
      <c r="H164" s="67">
        <f>IFERROR(E164-G164,0)</f>
        <v>5065</v>
      </c>
      <c r="I164" s="21"/>
      <c r="J164" s="22"/>
      <c r="K164" s="52">
        <v>6204</v>
      </c>
      <c r="L164" s="67">
        <f>IFERROR(E164-K164,0)</f>
        <v>0</v>
      </c>
      <c r="M164" s="73"/>
      <c r="N164" s="74"/>
    </row>
    <row r="165" spans="1:14" s="27" customFormat="1" ht="15" customHeight="1" thickBot="1" x14ac:dyDescent="0.35">
      <c r="A165" s="5"/>
      <c r="B165" s="6" t="s">
        <v>12</v>
      </c>
      <c r="C165" s="15">
        <f>IFERROR(C164/C161,0)</f>
        <v>1.0809054054189189</v>
      </c>
      <c r="D165" s="15">
        <f>IFERROR(D164/D161,0)</f>
        <v>1.6031007751937985</v>
      </c>
      <c r="E165" s="15">
        <f>IFERROR(E164/E161,0)</f>
        <v>1.6031007751937985</v>
      </c>
      <c r="F165" s="69">
        <f>IFERROR(E165-C165,0)</f>
        <v>0.52219536977487957</v>
      </c>
      <c r="G165" s="15">
        <f>IFERROR(G164/G161,0)</f>
        <v>1.4967148488830486</v>
      </c>
      <c r="H165" s="69">
        <f>IFERROR(E165-G165,0)</f>
        <v>0.10638592631074983</v>
      </c>
      <c r="I165" s="21"/>
      <c r="J165" s="22"/>
      <c r="K165" s="55">
        <f>IFERROR(K164/K161,0)</f>
        <v>1.6031007751937985</v>
      </c>
      <c r="L165" s="69">
        <f>IFERROR(E165-K165,0)</f>
        <v>0</v>
      </c>
      <c r="M165" s="73"/>
      <c r="N165" s="74"/>
    </row>
    <row r="166" spans="1:14" s="27" customFormat="1" ht="5.0999999999999996" customHeight="1" thickBot="1" x14ac:dyDescent="0.35">
      <c r="A166" s="5"/>
      <c r="B166" s="6"/>
      <c r="C166" s="7"/>
      <c r="D166" s="13"/>
      <c r="E166" s="14"/>
      <c r="F166" s="69"/>
      <c r="G166" s="13"/>
      <c r="H166" s="69"/>
      <c r="I166" s="21"/>
      <c r="J166" s="22"/>
      <c r="K166" s="54"/>
      <c r="L166" s="69"/>
      <c r="M166" s="73"/>
      <c r="N166" s="74"/>
    </row>
    <row r="167" spans="1:14" s="27" customFormat="1" ht="15" customHeight="1" thickBot="1" x14ac:dyDescent="0.35">
      <c r="A167" s="5"/>
      <c r="B167" s="6" t="s">
        <v>13</v>
      </c>
      <c r="C167" s="15">
        <f>IFERROR(C156/C161,0)</f>
        <v>99.685135135135141</v>
      </c>
      <c r="D167" s="15">
        <f>IFERROR(D156/D161,0)</f>
        <v>80.718852713178293</v>
      </c>
      <c r="E167" s="15">
        <f>IFERROR(E156/E161,0)</f>
        <v>80.718852713178293</v>
      </c>
      <c r="F167" s="69">
        <f>IFERROR(E167-C167,0)</f>
        <v>-18.966282421956848</v>
      </c>
      <c r="G167" s="15">
        <f>IFERROR(G156/G161,0)</f>
        <v>64.346215505913278</v>
      </c>
      <c r="H167" s="69">
        <f>IFERROR(E167-G167,0)</f>
        <v>16.372637207265015</v>
      </c>
      <c r="I167" s="21">
        <f>IFERROR(E167/C167-1,0)</f>
        <v>-0.19026189206892063</v>
      </c>
      <c r="J167" s="22">
        <f>IFERROR(E167/G167-1,0)</f>
        <v>0.2544460008803533</v>
      </c>
      <c r="K167" s="55">
        <f>IFERROR(K156/K161,0)</f>
        <v>80.718852713178293</v>
      </c>
      <c r="L167" s="69">
        <f>IFERROR(E167-K167,0)</f>
        <v>0</v>
      </c>
      <c r="M167" s="73"/>
      <c r="N167" s="74"/>
    </row>
    <row r="168" spans="1:14" s="38" customFormat="1" ht="15" customHeight="1" thickBot="1" x14ac:dyDescent="0.35">
      <c r="A168" s="9"/>
      <c r="B168" s="10" t="s">
        <v>14</v>
      </c>
      <c r="C168" s="16">
        <f>IFERROR(C156/C160,0)</f>
        <v>82.054505005561737</v>
      </c>
      <c r="D168" s="16">
        <f>IFERROR(D156/D160,0)</f>
        <v>69.495430478309231</v>
      </c>
      <c r="E168" s="16">
        <f>IFERROR(E156/E160,0)</f>
        <v>69.495430478309231</v>
      </c>
      <c r="F168" s="70">
        <f t="shared" ref="F168:F169" si="64">IFERROR(E168-C168,0)</f>
        <v>-12.559074527252506</v>
      </c>
      <c r="G168" s="16">
        <f>IFERROR(G156/G160,0)</f>
        <v>10.893764182424917</v>
      </c>
      <c r="H168" s="70">
        <f t="shared" ref="H168:H169" si="65">IFERROR(E168-G168,0)</f>
        <v>58.601666295884314</v>
      </c>
      <c r="I168" s="20">
        <f>IFERROR(E168/C168-1,0)</f>
        <v>-0.15305770873154667</v>
      </c>
      <c r="J168" s="11">
        <f>IFERROR(E168/G168-1,0)</f>
        <v>5.379377166106396</v>
      </c>
      <c r="K168" s="56">
        <f>IFERROR(K156/K160,0)</f>
        <v>69.495430478309231</v>
      </c>
      <c r="L168" s="70">
        <f>IFERROR(E168-K168,0)</f>
        <v>0</v>
      </c>
      <c r="M168" s="73"/>
      <c r="N168" s="74"/>
    </row>
    <row r="169" spans="1:14" ht="15" customHeight="1" thickBot="1" x14ac:dyDescent="0.35">
      <c r="A169" s="17"/>
      <c r="B169" s="18" t="s">
        <v>34</v>
      </c>
      <c r="C169" s="19">
        <f>IFERROR(C155/C161,0)</f>
        <v>111.93761853736089</v>
      </c>
      <c r="D169" s="19">
        <f>IFERROR(D155/D161,0)</f>
        <v>98.190348837209314</v>
      </c>
      <c r="E169" s="19">
        <f>IFERROR(E155/E161,0)</f>
        <v>98.190348837209314</v>
      </c>
      <c r="F169" s="72">
        <f t="shared" si="64"/>
        <v>-13.747269700151577</v>
      </c>
      <c r="G169" s="19">
        <f>IFERROR(G155/G161,0)</f>
        <v>84.359710906701707</v>
      </c>
      <c r="H169" s="72">
        <f t="shared" si="65"/>
        <v>13.830637930507606</v>
      </c>
      <c r="I169" s="25">
        <f>IFERROR(E169/C169-1,0)</f>
        <v>-0.12281188290211142</v>
      </c>
      <c r="J169" s="26">
        <f>IFERROR(E169/G169-1,0)</f>
        <v>0.1639483798824739</v>
      </c>
      <c r="K169" s="57">
        <f>IFERROR(K155/K161,0)</f>
        <v>98.190348837209299</v>
      </c>
      <c r="L169" s="72">
        <f>IFERROR(E169-K169,0)</f>
        <v>1.4210854715202004E-14</v>
      </c>
      <c r="M169" s="73"/>
      <c r="N169" s="74"/>
    </row>
    <row r="170" spans="1:14" s="27" customFormat="1" ht="15" customHeight="1" thickBot="1" x14ac:dyDescent="0.35">
      <c r="A170" s="1"/>
      <c r="B170" s="2" t="s">
        <v>19</v>
      </c>
      <c r="C170" s="3">
        <f>SUM(C171:C173)</f>
        <v>380085.0982941176</v>
      </c>
      <c r="D170" s="3">
        <f>SUM(D171:D173)</f>
        <v>202090.62910233342</v>
      </c>
      <c r="E170" s="4">
        <f>SUM(E171:E173)</f>
        <v>204324.33094392522</v>
      </c>
      <c r="F170" s="71">
        <f>IFERROR(SUM(F171:F173),0)</f>
        <v>-175760.76735019239</v>
      </c>
      <c r="G170" s="3">
        <f>SUM(G171:G173)</f>
        <v>2351.8799999999997</v>
      </c>
      <c r="H170" s="71">
        <f>IFERROR(E170-G170,0)</f>
        <v>201972.45094392521</v>
      </c>
      <c r="I170" s="20">
        <f>IFERROR(E170/C170-1,0)</f>
        <v>-0.46242477839577156</v>
      </c>
      <c r="J170" s="11">
        <f>IFERROR(E170/G170-1,0)</f>
        <v>85.877022188175104</v>
      </c>
      <c r="K170" s="51">
        <f>SUM(K171:K173)</f>
        <v>245239.95841686442</v>
      </c>
      <c r="L170" s="71">
        <f>IFERROR(SUM(L171:L173),0)</f>
        <v>-40915.627472939188</v>
      </c>
      <c r="M170" s="73"/>
      <c r="N170" s="74"/>
    </row>
    <row r="171" spans="1:14" s="27" customFormat="1" ht="15" customHeight="1" thickBot="1" x14ac:dyDescent="0.35">
      <c r="A171" s="5"/>
      <c r="B171" s="6" t="s">
        <v>5</v>
      </c>
      <c r="C171" s="45">
        <v>330659.02</v>
      </c>
      <c r="D171" s="45">
        <v>173424.75700934578</v>
      </c>
      <c r="E171" s="45">
        <v>170982.45494392523</v>
      </c>
      <c r="F171" s="67">
        <f>IFERROR(E171-C171,0)</f>
        <v>-159676.56505607479</v>
      </c>
      <c r="G171" s="45">
        <v>50.47</v>
      </c>
      <c r="H171" s="67">
        <f t="shared" ref="H171:H173" si="66">IFERROR(E171-G171,0)</f>
        <v>170931.98494392523</v>
      </c>
      <c r="I171" s="21">
        <f t="shared" ref="I171:I173" si="67">IFERROR(E171/C171-1,0)</f>
        <v>-0.48290400502631015</v>
      </c>
      <c r="J171" s="22">
        <f t="shared" ref="J171:J173" si="68">IFERROR(E171/G171-1,0)</f>
        <v>3386.803743687839</v>
      </c>
      <c r="K171" s="52">
        <v>204673.79400000002</v>
      </c>
      <c r="L171" s="67">
        <f>IFERROR(E171-K171,0)</f>
        <v>-33691.339056074794</v>
      </c>
      <c r="M171" s="73"/>
      <c r="N171" s="74"/>
    </row>
    <row r="172" spans="1:14" s="27" customFormat="1" ht="15" customHeight="1" thickBot="1" x14ac:dyDescent="0.35">
      <c r="A172" s="5"/>
      <c r="B172" s="6" t="s">
        <v>6</v>
      </c>
      <c r="C172" s="45">
        <v>34546.838000000003</v>
      </c>
      <c r="D172" s="45">
        <v>17977.839315166078</v>
      </c>
      <c r="E172" s="45">
        <v>21021.375999999993</v>
      </c>
      <c r="F172" s="67">
        <f t="shared" ref="F172:F173" si="69">IFERROR(E172-C172,0)</f>
        <v>-13525.46200000001</v>
      </c>
      <c r="G172" s="45">
        <v>0</v>
      </c>
      <c r="H172" s="67">
        <f t="shared" si="66"/>
        <v>21021.375999999993</v>
      </c>
      <c r="I172" s="21">
        <f t="shared" si="67"/>
        <v>-0.39151085259959273</v>
      </c>
      <c r="J172" s="22">
        <f t="shared" si="68"/>
        <v>0</v>
      </c>
      <c r="K172" s="52">
        <v>25223.684416864395</v>
      </c>
      <c r="L172" s="67">
        <f>IFERROR(E172-K172,0)</f>
        <v>-4202.3084168644018</v>
      </c>
      <c r="M172" s="73"/>
      <c r="N172" s="74"/>
    </row>
    <row r="173" spans="1:14" s="27" customFormat="1" ht="15" customHeight="1" thickBot="1" x14ac:dyDescent="0.35">
      <c r="A173" s="5"/>
      <c r="B173" s="6" t="s">
        <v>7</v>
      </c>
      <c r="C173" s="45">
        <v>14879.240294117601</v>
      </c>
      <c r="D173" s="45">
        <v>10688.032777821558</v>
      </c>
      <c r="E173" s="45">
        <v>12320.5</v>
      </c>
      <c r="F173" s="67">
        <f t="shared" si="69"/>
        <v>-2558.7402941176006</v>
      </c>
      <c r="G173" s="45">
        <v>2301.41</v>
      </c>
      <c r="H173" s="67">
        <f t="shared" si="66"/>
        <v>10019.09</v>
      </c>
      <c r="I173" s="21">
        <f t="shared" si="67"/>
        <v>-0.17196713296774835</v>
      </c>
      <c r="J173" s="22">
        <f t="shared" si="68"/>
        <v>4.3534572283947668</v>
      </c>
      <c r="K173" s="52">
        <v>15342.48</v>
      </c>
      <c r="L173" s="67">
        <f>IFERROR(E173-K173,0)</f>
        <v>-3021.9799999999996</v>
      </c>
      <c r="M173" s="73"/>
      <c r="N173" s="74"/>
    </row>
    <row r="174" spans="1:14" s="27" customFormat="1" ht="5.0999999999999996" customHeight="1" thickBot="1" x14ac:dyDescent="0.35">
      <c r="A174" s="5"/>
      <c r="B174" s="6"/>
      <c r="C174" s="7"/>
      <c r="D174" s="7"/>
      <c r="E174" s="8"/>
      <c r="F174" s="67"/>
      <c r="G174" s="7"/>
      <c r="H174" s="67"/>
      <c r="I174" s="21"/>
      <c r="J174" s="21"/>
      <c r="K174" s="53"/>
      <c r="L174" s="67"/>
      <c r="M174" s="73"/>
      <c r="N174" s="74"/>
    </row>
    <row r="175" spans="1:14" s="27" customFormat="1" ht="15" customHeight="1" thickBot="1" x14ac:dyDescent="0.35">
      <c r="A175" s="5"/>
      <c r="B175" s="6" t="s">
        <v>8</v>
      </c>
      <c r="C175" s="45">
        <v>4350</v>
      </c>
      <c r="D175" s="45">
        <v>4350</v>
      </c>
      <c r="E175" s="46">
        <v>4350</v>
      </c>
      <c r="F175" s="67">
        <f>IFERROR(E175-C175,0)</f>
        <v>0</v>
      </c>
      <c r="G175" s="45">
        <v>4350</v>
      </c>
      <c r="H175" s="67">
        <f>IFERROR(E175-G175,0)</f>
        <v>0</v>
      </c>
      <c r="I175" s="23"/>
      <c r="J175" s="24"/>
      <c r="K175" s="52">
        <v>4350</v>
      </c>
      <c r="L175" s="67">
        <f>IFERROR(E175-K175,0)</f>
        <v>0</v>
      </c>
      <c r="M175" s="73"/>
      <c r="N175" s="74"/>
    </row>
    <row r="176" spans="1:14" s="27" customFormat="1" ht="15" customHeight="1" thickBot="1" x14ac:dyDescent="0.35">
      <c r="A176" s="5"/>
      <c r="B176" s="6" t="s">
        <v>9</v>
      </c>
      <c r="C176" s="45">
        <v>3550</v>
      </c>
      <c r="D176" s="45">
        <v>2075</v>
      </c>
      <c r="E176" s="46">
        <v>2050</v>
      </c>
      <c r="F176" s="67">
        <f>IFERROR(E176-C176,0)</f>
        <v>-1500</v>
      </c>
      <c r="G176" s="45">
        <v>0</v>
      </c>
      <c r="H176" s="67">
        <f>IFERROR(E176-G176,0)</f>
        <v>2050</v>
      </c>
      <c r="I176" s="23"/>
      <c r="J176" s="24"/>
      <c r="K176" s="52">
        <v>2400</v>
      </c>
      <c r="L176" s="67">
        <f>IFERROR(E176-K176,0)</f>
        <v>-350</v>
      </c>
      <c r="M176" s="73"/>
      <c r="N176" s="74"/>
    </row>
    <row r="177" spans="1:14" s="38" customFormat="1" ht="15" customHeight="1" thickBot="1" x14ac:dyDescent="0.35">
      <c r="A177" s="9"/>
      <c r="B177" s="10" t="s">
        <v>10</v>
      </c>
      <c r="C177" s="11">
        <f>IFERROR(C176/C175,0)</f>
        <v>0.81609195402298851</v>
      </c>
      <c r="D177" s="11">
        <f>IFERROR(D176/D175,0)</f>
        <v>0.47701149425287354</v>
      </c>
      <c r="E177" s="11">
        <f>IFERROR(E176/E175,0)</f>
        <v>0.47126436781609193</v>
      </c>
      <c r="F177" s="68">
        <f>IFERROR(E177-C177,0)</f>
        <v>-0.34482758620689657</v>
      </c>
      <c r="G177" s="11">
        <f>IFERROR(G176/G175,0)</f>
        <v>0</v>
      </c>
      <c r="H177" s="68">
        <f>IFERROR(E177-G177,0)</f>
        <v>0.47126436781609193</v>
      </c>
      <c r="I177" s="20">
        <f>IFERROR(E177/C177-1,0)</f>
        <v>-0.42253521126760563</v>
      </c>
      <c r="J177" s="11">
        <f>IFERROR(E177/G177-1,0)</f>
        <v>0</v>
      </c>
      <c r="K177" s="12">
        <f>IFERROR(K176/K175,0)</f>
        <v>0.55172413793103448</v>
      </c>
      <c r="L177" s="68">
        <f>IFERROR(E177-K177,0)</f>
        <v>-8.0459770114942541E-2</v>
      </c>
      <c r="M177" s="73"/>
      <c r="N177" s="74"/>
    </row>
    <row r="178" spans="1:14" s="27" customFormat="1" ht="5.0999999999999996" customHeight="1" thickBot="1" x14ac:dyDescent="0.35">
      <c r="A178" s="5"/>
      <c r="B178" s="6"/>
      <c r="C178" s="7"/>
      <c r="D178" s="13"/>
      <c r="E178" s="14"/>
      <c r="F178" s="67"/>
      <c r="G178" s="13"/>
      <c r="H178" s="67"/>
      <c r="I178" s="21"/>
      <c r="J178" s="22"/>
      <c r="K178" s="54"/>
      <c r="L178" s="67"/>
      <c r="M178" s="73"/>
      <c r="N178" s="74"/>
    </row>
    <row r="179" spans="1:14" s="27" customFormat="1" ht="15" customHeight="1" thickBot="1" x14ac:dyDescent="0.35">
      <c r="A179" s="5"/>
      <c r="B179" s="6" t="s">
        <v>11</v>
      </c>
      <c r="C179" s="45">
        <v>5479</v>
      </c>
      <c r="D179" s="45">
        <v>3142</v>
      </c>
      <c r="E179" s="46">
        <v>3219.2</v>
      </c>
      <c r="F179" s="67">
        <f>IFERROR(E179-C179,0)</f>
        <v>-2259.8000000000002</v>
      </c>
      <c r="G179" s="45">
        <v>0</v>
      </c>
      <c r="H179" s="67">
        <f>IFERROR(E179-G179,0)</f>
        <v>3219.2</v>
      </c>
      <c r="I179" s="21"/>
      <c r="J179" s="22"/>
      <c r="K179" s="52">
        <v>3753.5</v>
      </c>
      <c r="L179" s="67">
        <f>IFERROR(E179-K179,0)</f>
        <v>-534.30000000000018</v>
      </c>
      <c r="M179" s="73"/>
      <c r="N179" s="74"/>
    </row>
    <row r="180" spans="1:14" s="27" customFormat="1" ht="15" customHeight="1" thickBot="1" x14ac:dyDescent="0.35">
      <c r="A180" s="5"/>
      <c r="B180" s="6" t="s">
        <v>12</v>
      </c>
      <c r="C180" s="15">
        <f>IFERROR(C179/C176,0)</f>
        <v>1.5433802816901407</v>
      </c>
      <c r="D180" s="15">
        <f>IFERROR(D179/D176,0)</f>
        <v>1.5142168674698795</v>
      </c>
      <c r="E180" s="15">
        <f>IFERROR(E179/E176,0)</f>
        <v>1.570341463414634</v>
      </c>
      <c r="F180" s="69">
        <f>IFERROR(E180-C180,0)</f>
        <v>2.6961181724493244E-2</v>
      </c>
      <c r="G180" s="15">
        <f>IFERROR(G179/G176,0)</f>
        <v>0</v>
      </c>
      <c r="H180" s="69">
        <f>IFERROR(E180-G180,0)</f>
        <v>1.570341463414634</v>
      </c>
      <c r="I180" s="21"/>
      <c r="J180" s="22"/>
      <c r="K180" s="55">
        <f>IFERROR(K179/K176,0)</f>
        <v>1.5639583333333333</v>
      </c>
      <c r="L180" s="69">
        <f>IFERROR(E180-K180,0)</f>
        <v>6.3831300813006475E-3</v>
      </c>
      <c r="M180" s="73"/>
      <c r="N180" s="74"/>
    </row>
    <row r="181" spans="1:14" s="27" customFormat="1" ht="5.0999999999999996" customHeight="1" thickBot="1" x14ac:dyDescent="0.35">
      <c r="A181" s="5"/>
      <c r="B181" s="6"/>
      <c r="C181" s="7"/>
      <c r="D181" s="13"/>
      <c r="E181" s="14"/>
      <c r="F181" s="69"/>
      <c r="G181" s="13"/>
      <c r="H181" s="69"/>
      <c r="I181" s="21"/>
      <c r="J181" s="22"/>
      <c r="K181" s="54"/>
      <c r="L181" s="69"/>
      <c r="M181" s="73"/>
      <c r="N181" s="74"/>
    </row>
    <row r="182" spans="1:14" s="27" customFormat="1" ht="15" customHeight="1" thickBot="1" x14ac:dyDescent="0.35">
      <c r="A182" s="5"/>
      <c r="B182" s="6" t="s">
        <v>13</v>
      </c>
      <c r="C182" s="15">
        <f>IFERROR(C171/C176,0)</f>
        <v>93.143385915492956</v>
      </c>
      <c r="D182" s="15">
        <f>IFERROR(D171/D176,0)</f>
        <v>83.578196149082302</v>
      </c>
      <c r="E182" s="15">
        <f>IFERROR(E171/E176,0)</f>
        <v>83.406075582402551</v>
      </c>
      <c r="F182" s="69">
        <f>IFERROR(E182-C182,0)</f>
        <v>-9.7373103330904058</v>
      </c>
      <c r="G182" s="15">
        <f>IFERROR(G171/G176,0)</f>
        <v>0</v>
      </c>
      <c r="H182" s="69">
        <f>IFERROR(E182-G182,0)</f>
        <v>83.406075582402551</v>
      </c>
      <c r="I182" s="21">
        <f>IFERROR(E182/C182-1,0)</f>
        <v>-0.10454108187482969</v>
      </c>
      <c r="J182" s="22">
        <f>IFERROR(E182/G182-1,0)</f>
        <v>0</v>
      </c>
      <c r="K182" s="55">
        <f>IFERROR(K171/K176,0)</f>
        <v>85.280747500000004</v>
      </c>
      <c r="L182" s="69">
        <f>IFERROR(E182-K182,0)</f>
        <v>-1.8746719175974533</v>
      </c>
      <c r="M182" s="73"/>
      <c r="N182" s="74"/>
    </row>
    <row r="183" spans="1:14" s="38" customFormat="1" ht="15" customHeight="1" thickBot="1" x14ac:dyDescent="0.35">
      <c r="A183" s="9"/>
      <c r="B183" s="10" t="s">
        <v>14</v>
      </c>
      <c r="C183" s="16">
        <f>IFERROR(C171/C175,0)</f>
        <v>76.013567816091964</v>
      </c>
      <c r="D183" s="16">
        <f>IFERROR(D171/D175,0)</f>
        <v>39.867760232033511</v>
      </c>
      <c r="E183" s="16">
        <f>IFERROR(E171/E175,0)</f>
        <v>39.306311481362123</v>
      </c>
      <c r="F183" s="70">
        <f t="shared" ref="F183:F184" si="70">IFERROR(E183-C183,0)</f>
        <v>-36.707256334729841</v>
      </c>
      <c r="G183" s="16">
        <f>IFERROR(G171/G175,0)</f>
        <v>1.1602298850574712E-2</v>
      </c>
      <c r="H183" s="70">
        <f t="shared" ref="H183:H184" si="71">IFERROR(E183-G183,0)</f>
        <v>39.294709182511546</v>
      </c>
      <c r="I183" s="20">
        <f>IFERROR(E183/C183-1,0)</f>
        <v>-0.48290400502631015</v>
      </c>
      <c r="J183" s="11">
        <f>IFERROR(E183/G183-1,0)</f>
        <v>3386.8037436878394</v>
      </c>
      <c r="K183" s="56">
        <f>IFERROR(K171/K175,0)</f>
        <v>47.051446896551731</v>
      </c>
      <c r="L183" s="70">
        <f>IFERROR(E183-K183,0)</f>
        <v>-7.7451354151896084</v>
      </c>
      <c r="M183" s="73"/>
      <c r="N183" s="74"/>
    </row>
    <row r="184" spans="1:14" ht="15" customHeight="1" thickBot="1" x14ac:dyDescent="0.35">
      <c r="A184" s="17"/>
      <c r="B184" s="18" t="s">
        <v>34</v>
      </c>
      <c r="C184" s="19">
        <f>IFERROR(C170/C176,0)</f>
        <v>107.06622487158242</v>
      </c>
      <c r="D184" s="19">
        <f>IFERROR(D170/D176,0)</f>
        <v>97.393074266184783</v>
      </c>
      <c r="E184" s="19">
        <f>IFERROR(E170/E176,0)</f>
        <v>99.670405338500103</v>
      </c>
      <c r="F184" s="72">
        <f t="shared" si="70"/>
        <v>-7.3958195330823173</v>
      </c>
      <c r="G184" s="19">
        <f>IFERROR(G170/G176,0)</f>
        <v>0</v>
      </c>
      <c r="H184" s="72">
        <f t="shared" si="71"/>
        <v>99.670405338500103</v>
      </c>
      <c r="I184" s="25">
        <f>IFERROR(E184/C184-1,0)</f>
        <v>-6.9077055270726384E-2</v>
      </c>
      <c r="J184" s="26">
        <f>IFERROR(E184/G184-1,0)</f>
        <v>0</v>
      </c>
      <c r="K184" s="57">
        <f>IFERROR(K170/K176,0)</f>
        <v>102.18331600702685</v>
      </c>
      <c r="L184" s="72">
        <f>IFERROR(E184-K184,0)</f>
        <v>-2.5129106685267431</v>
      </c>
      <c r="M184" s="73"/>
      <c r="N184" s="74"/>
    </row>
    <row r="185" spans="1:14" s="27" customFormat="1" ht="15" customHeight="1" thickBot="1" x14ac:dyDescent="0.35">
      <c r="A185" s="1"/>
      <c r="B185" s="2" t="s">
        <v>20</v>
      </c>
      <c r="C185" s="3">
        <f>SUM(C186:C188)</f>
        <v>361671.49176470592</v>
      </c>
      <c r="D185" s="3">
        <f>SUM(D186:D188)</f>
        <v>108852.81940364937</v>
      </c>
      <c r="E185" s="4">
        <f>SUM(E186:E188)</f>
        <v>144256.29680400586</v>
      </c>
      <c r="F185" s="71">
        <f>IFERROR(SUM(F186:F188),0)</f>
        <v>-217415.19496070003</v>
      </c>
      <c r="G185" s="3">
        <f>SUM(G186:G188)</f>
        <v>2557.3000000000002</v>
      </c>
      <c r="H185" s="71">
        <f>IFERROR(E185-G185,0)</f>
        <v>141698.99680400587</v>
      </c>
      <c r="I185" s="20">
        <f>IFERROR(E185/C185-1,0)</f>
        <v>-0.60113998451983253</v>
      </c>
      <c r="J185" s="11">
        <f>IFERROR(E185/G185-1,0)</f>
        <v>55.409610450086362</v>
      </c>
      <c r="K185" s="51">
        <f>SUM(K186:K188)</f>
        <v>283578.88340987812</v>
      </c>
      <c r="L185" s="71">
        <f>IFERROR(SUM(L186:L188),0)</f>
        <v>-139322.58660587229</v>
      </c>
      <c r="M185" s="73"/>
      <c r="N185" s="74"/>
    </row>
    <row r="186" spans="1:14" s="27" customFormat="1" ht="15" customHeight="1" thickBot="1" x14ac:dyDescent="0.35">
      <c r="A186" s="5"/>
      <c r="B186" s="6" t="s">
        <v>5</v>
      </c>
      <c r="C186" s="45">
        <v>309797.69500000001</v>
      </c>
      <c r="D186" s="45">
        <v>108852.81940364937</v>
      </c>
      <c r="E186" s="45">
        <v>118926.55</v>
      </c>
      <c r="F186" s="67">
        <f>IFERROR(E186-C186,0)</f>
        <v>-190871.14500000002</v>
      </c>
      <c r="G186" s="45">
        <v>0</v>
      </c>
      <c r="H186" s="67">
        <f t="shared" ref="H186:H188" si="72">IFERROR(E186-G186,0)</f>
        <v>118926.55</v>
      </c>
      <c r="I186" s="21">
        <f t="shared" ref="I186:I188" si="73">IFERROR(E186/C186-1,0)</f>
        <v>-0.61611544592028034</v>
      </c>
      <c r="J186" s="22">
        <f t="shared" ref="J186:J188" si="74">IFERROR(E186/G186-1,0)</f>
        <v>0</v>
      </c>
      <c r="K186" s="52">
        <v>232334.44500000001</v>
      </c>
      <c r="L186" s="67">
        <f>IFERROR(E186-K186,0)</f>
        <v>-113407.895</v>
      </c>
      <c r="M186" s="73"/>
      <c r="N186" s="74"/>
    </row>
    <row r="187" spans="1:14" s="27" customFormat="1" ht="15" customHeight="1" thickBot="1" x14ac:dyDescent="0.35">
      <c r="A187" s="5"/>
      <c r="B187" s="6" t="s">
        <v>6</v>
      </c>
      <c r="C187" s="45">
        <v>36513.929999999993</v>
      </c>
      <c r="D187" s="45">
        <v>0</v>
      </c>
      <c r="E187" s="45">
        <v>17191.999304005869</v>
      </c>
      <c r="F187" s="67">
        <f t="shared" ref="F187:F188" si="75">IFERROR(E187-C187,0)</f>
        <v>-19321.930695994124</v>
      </c>
      <c r="G187" s="45">
        <v>0</v>
      </c>
      <c r="H187" s="67">
        <f t="shared" si="72"/>
        <v>17191.999304005869</v>
      </c>
      <c r="I187" s="21">
        <f t="shared" si="73"/>
        <v>-0.5291660113275708</v>
      </c>
      <c r="J187" s="22">
        <f t="shared" si="74"/>
        <v>0</v>
      </c>
      <c r="K187" s="52">
        <v>32918.713409878153</v>
      </c>
      <c r="L187" s="67">
        <f>IFERROR(E187-K187,0)</f>
        <v>-15726.714105872285</v>
      </c>
      <c r="M187" s="73"/>
      <c r="N187" s="74"/>
    </row>
    <row r="188" spans="1:14" s="27" customFormat="1" ht="15" customHeight="1" thickBot="1" x14ac:dyDescent="0.35">
      <c r="A188" s="5"/>
      <c r="B188" s="6" t="s">
        <v>7</v>
      </c>
      <c r="C188" s="45">
        <v>15359.866764705899</v>
      </c>
      <c r="D188" s="45">
        <v>0</v>
      </c>
      <c r="E188" s="45">
        <v>8137.7474999999995</v>
      </c>
      <c r="F188" s="67">
        <f t="shared" si="75"/>
        <v>-7222.1192647058997</v>
      </c>
      <c r="G188" s="45">
        <v>2557.3000000000002</v>
      </c>
      <c r="H188" s="67">
        <f t="shared" si="72"/>
        <v>5580.4474999999993</v>
      </c>
      <c r="I188" s="21">
        <f t="shared" si="73"/>
        <v>-0.47019413484112893</v>
      </c>
      <c r="J188" s="22">
        <f t="shared" si="74"/>
        <v>2.1821638055761934</v>
      </c>
      <c r="K188" s="52">
        <v>18325.725000000002</v>
      </c>
      <c r="L188" s="67">
        <f>IFERROR(E188-K188,0)</f>
        <v>-10187.977500000003</v>
      </c>
      <c r="M188" s="73"/>
      <c r="N188" s="74"/>
    </row>
    <row r="189" spans="1:14" s="27" customFormat="1" ht="5.0999999999999996" customHeight="1" thickBot="1" x14ac:dyDescent="0.35">
      <c r="A189" s="5"/>
      <c r="B189" s="6"/>
      <c r="C189" s="7"/>
      <c r="D189" s="7"/>
      <c r="E189" s="8"/>
      <c r="F189" s="67"/>
      <c r="G189" s="7"/>
      <c r="H189" s="67"/>
      <c r="I189" s="21"/>
      <c r="J189" s="21"/>
      <c r="K189" s="53"/>
      <c r="L189" s="67"/>
      <c r="M189" s="73"/>
      <c r="N189" s="74"/>
    </row>
    <row r="190" spans="1:14" s="27" customFormat="1" ht="15" customHeight="1" thickBot="1" x14ac:dyDescent="0.35">
      <c r="A190" s="5"/>
      <c r="B190" s="6" t="s">
        <v>8</v>
      </c>
      <c r="C190" s="45">
        <v>4495</v>
      </c>
      <c r="D190" s="45">
        <v>4495</v>
      </c>
      <c r="E190" s="46">
        <v>4495</v>
      </c>
      <c r="F190" s="67">
        <f>IFERROR(E190-C190,0)</f>
        <v>0</v>
      </c>
      <c r="G190" s="45">
        <v>4495</v>
      </c>
      <c r="H190" s="67">
        <f>IFERROR(E190-G190,0)</f>
        <v>0</v>
      </c>
      <c r="I190" s="23"/>
      <c r="J190" s="24"/>
      <c r="K190" s="52">
        <v>4495</v>
      </c>
      <c r="L190" s="67">
        <f>IFERROR(E190-K190,0)</f>
        <v>0</v>
      </c>
      <c r="M190" s="73"/>
      <c r="N190" s="74"/>
    </row>
    <row r="191" spans="1:14" s="27" customFormat="1" ht="15" customHeight="1" thickBot="1" x14ac:dyDescent="0.35">
      <c r="A191" s="5"/>
      <c r="B191" s="6" t="s">
        <v>9</v>
      </c>
      <c r="C191" s="45">
        <v>3450</v>
      </c>
      <c r="D191" s="45">
        <v>1270</v>
      </c>
      <c r="E191" s="46">
        <v>1425</v>
      </c>
      <c r="F191" s="67">
        <f>IFERROR(E191-C191,0)</f>
        <v>-2025</v>
      </c>
      <c r="G191" s="45">
        <v>0</v>
      </c>
      <c r="H191" s="67">
        <f>IFERROR(E191-G191,0)</f>
        <v>1425</v>
      </c>
      <c r="I191" s="23"/>
      <c r="J191" s="24"/>
      <c r="K191" s="52">
        <v>2750</v>
      </c>
      <c r="L191" s="67">
        <f>IFERROR(E191-K191,0)</f>
        <v>-1325</v>
      </c>
      <c r="M191" s="73"/>
      <c r="N191" s="74"/>
    </row>
    <row r="192" spans="1:14" s="38" customFormat="1" ht="15" customHeight="1" thickBot="1" x14ac:dyDescent="0.35">
      <c r="A192" s="9"/>
      <c r="B192" s="10" t="s">
        <v>10</v>
      </c>
      <c r="C192" s="11">
        <f>IFERROR(C191/C190,0)</f>
        <v>0.76751946607341492</v>
      </c>
      <c r="D192" s="11">
        <f>IFERROR(D191/D190,0)</f>
        <v>0.28253615127919912</v>
      </c>
      <c r="E192" s="11">
        <f>IFERROR(E191/E190,0)</f>
        <v>0.31701890989988879</v>
      </c>
      <c r="F192" s="68">
        <f>IFERROR(E192-C192,0)</f>
        <v>-0.45050055617352613</v>
      </c>
      <c r="G192" s="11">
        <f>IFERROR(G191/G190,0)</f>
        <v>0</v>
      </c>
      <c r="H192" s="68">
        <f>IFERROR(E192-G192,0)</f>
        <v>0.31701890989988879</v>
      </c>
      <c r="I192" s="20">
        <f>IFERROR(E192/C192-1,0)</f>
        <v>-0.58695652173913038</v>
      </c>
      <c r="J192" s="11">
        <f>IFERROR(E192/G192-1,0)</f>
        <v>0</v>
      </c>
      <c r="K192" s="12">
        <f>IFERROR(K191/K190,0)</f>
        <v>0.61179087875417126</v>
      </c>
      <c r="L192" s="68">
        <f>IFERROR(E192-K192,0)</f>
        <v>-0.29477196885428247</v>
      </c>
      <c r="M192" s="73"/>
      <c r="N192" s="74"/>
    </row>
    <row r="193" spans="1:14" s="27" customFormat="1" ht="5.0999999999999996" customHeight="1" thickBot="1" x14ac:dyDescent="0.35">
      <c r="A193" s="5"/>
      <c r="B193" s="6"/>
      <c r="C193" s="7"/>
      <c r="D193" s="13"/>
      <c r="E193" s="14"/>
      <c r="F193" s="67"/>
      <c r="G193" s="13"/>
      <c r="H193" s="67"/>
      <c r="I193" s="21"/>
      <c r="J193" s="22"/>
      <c r="K193" s="54"/>
      <c r="L193" s="67"/>
      <c r="M193" s="73"/>
      <c r="N193" s="74"/>
    </row>
    <row r="194" spans="1:14" s="27" customFormat="1" ht="15" customHeight="1" thickBot="1" x14ac:dyDescent="0.35">
      <c r="A194" s="5"/>
      <c r="B194" s="6" t="s">
        <v>11</v>
      </c>
      <c r="C194" s="45">
        <v>6134.75</v>
      </c>
      <c r="D194" s="45">
        <v>2160</v>
      </c>
      <c r="E194" s="46">
        <v>2611.15</v>
      </c>
      <c r="F194" s="67">
        <f>IFERROR(E194-C194,0)</f>
        <v>-3523.6</v>
      </c>
      <c r="G194" s="45">
        <v>0</v>
      </c>
      <c r="H194" s="67">
        <f>IFERROR(E194-G194,0)</f>
        <v>2611.15</v>
      </c>
      <c r="I194" s="21"/>
      <c r="J194" s="22"/>
      <c r="K194" s="52">
        <v>4999.75</v>
      </c>
      <c r="L194" s="67">
        <f>IFERROR(E194-K194,0)</f>
        <v>-2388.6</v>
      </c>
      <c r="M194" s="73"/>
      <c r="N194" s="74"/>
    </row>
    <row r="195" spans="1:14" s="27" customFormat="1" ht="15" customHeight="1" thickBot="1" x14ac:dyDescent="0.35">
      <c r="A195" s="5"/>
      <c r="B195" s="6" t="s">
        <v>12</v>
      </c>
      <c r="C195" s="15">
        <f>IFERROR(C194/C191,0)</f>
        <v>1.7781884057971014</v>
      </c>
      <c r="D195" s="15">
        <f>IFERROR(D194/D191,0)</f>
        <v>1.7007874015748032</v>
      </c>
      <c r="E195" s="15">
        <f>IFERROR(E194/E191,0)</f>
        <v>1.8323859649122807</v>
      </c>
      <c r="F195" s="69">
        <f>IFERROR(E195-C195,0)</f>
        <v>5.4197559115179317E-2</v>
      </c>
      <c r="G195" s="15">
        <f>IFERROR(G194/G191,0)</f>
        <v>0</v>
      </c>
      <c r="H195" s="69">
        <f>IFERROR(E195-G195,0)</f>
        <v>1.8323859649122807</v>
      </c>
      <c r="I195" s="21"/>
      <c r="J195" s="22"/>
      <c r="K195" s="55">
        <f>IFERROR(K194/K191,0)</f>
        <v>1.8180909090909092</v>
      </c>
      <c r="L195" s="69">
        <f>IFERROR(E195-K195,0)</f>
        <v>1.4295055821371472E-2</v>
      </c>
      <c r="M195" s="73"/>
      <c r="N195" s="74"/>
    </row>
    <row r="196" spans="1:14" s="27" customFormat="1" ht="5.0999999999999996" customHeight="1" thickBot="1" x14ac:dyDescent="0.35">
      <c r="A196" s="5"/>
      <c r="B196" s="6"/>
      <c r="C196" s="7"/>
      <c r="D196" s="13"/>
      <c r="E196" s="14"/>
      <c r="F196" s="69"/>
      <c r="G196" s="13"/>
      <c r="H196" s="69"/>
      <c r="I196" s="21"/>
      <c r="J196" s="22"/>
      <c r="K196" s="54"/>
      <c r="L196" s="69"/>
      <c r="M196" s="73"/>
      <c r="N196" s="74"/>
    </row>
    <row r="197" spans="1:14" s="27" customFormat="1" ht="15" customHeight="1" thickBot="1" x14ac:dyDescent="0.35">
      <c r="A197" s="5"/>
      <c r="B197" s="6" t="s">
        <v>13</v>
      </c>
      <c r="C197" s="15">
        <f>IFERROR(C186/C191,0)</f>
        <v>89.79643333333334</v>
      </c>
      <c r="D197" s="15">
        <f>IFERROR(D186/D191,0)</f>
        <v>85.710881420196358</v>
      </c>
      <c r="E197" s="15">
        <f>IFERROR(E186/E191,0)</f>
        <v>83.457228070175447</v>
      </c>
      <c r="F197" s="69">
        <f>IFERROR(E197-C197,0)</f>
        <v>-6.3392052631578935</v>
      </c>
      <c r="G197" s="15">
        <f>IFERROR(G186/G191,0)</f>
        <v>0</v>
      </c>
      <c r="H197" s="69">
        <f>IFERROR(E197-G197,0)</f>
        <v>83.457228070175447</v>
      </c>
      <c r="I197" s="21">
        <f>IFERROR(E197/C197-1,0)</f>
        <v>-7.0595290122783982E-2</v>
      </c>
      <c r="J197" s="22">
        <f>IFERROR(E197/G197-1,0)</f>
        <v>0</v>
      </c>
      <c r="K197" s="55">
        <f>IFERROR(K186/K191,0)</f>
        <v>84.485252727272723</v>
      </c>
      <c r="L197" s="69">
        <f>IFERROR(E197-K197,0)</f>
        <v>-1.0280246570972764</v>
      </c>
      <c r="M197" s="73"/>
      <c r="N197" s="74"/>
    </row>
    <row r="198" spans="1:14" s="38" customFormat="1" ht="15" customHeight="1" thickBot="1" x14ac:dyDescent="0.35">
      <c r="A198" s="9"/>
      <c r="B198" s="10" t="s">
        <v>14</v>
      </c>
      <c r="C198" s="16">
        <f>IFERROR(C186/C190,0)</f>
        <v>68.920510567297001</v>
      </c>
      <c r="D198" s="16">
        <f>IFERROR(D186/D190,0)</f>
        <v>24.216422559210091</v>
      </c>
      <c r="E198" s="16">
        <f>IFERROR(E186/E190,0)</f>
        <v>26.457519466073414</v>
      </c>
      <c r="F198" s="70">
        <f t="shared" ref="F198:F199" si="76">IFERROR(E198-C198,0)</f>
        <v>-42.462991101223587</v>
      </c>
      <c r="G198" s="16">
        <f>IFERROR(G186/G190,0)</f>
        <v>0</v>
      </c>
      <c r="H198" s="70">
        <f t="shared" ref="H198:H199" si="77">IFERROR(E198-G198,0)</f>
        <v>26.457519466073414</v>
      </c>
      <c r="I198" s="20">
        <f>IFERROR(E198/C198-1,0)</f>
        <v>-0.61611544592028045</v>
      </c>
      <c r="J198" s="11">
        <f>IFERROR(E198/G198-1,0)</f>
        <v>0</v>
      </c>
      <c r="K198" s="56">
        <f>IFERROR(K186/K190,0)</f>
        <v>51.68730700778643</v>
      </c>
      <c r="L198" s="70">
        <f>IFERROR(E198-K198,0)</f>
        <v>-25.229787541713016</v>
      </c>
      <c r="M198" s="73"/>
      <c r="N198" s="74"/>
    </row>
    <row r="199" spans="1:14" ht="15" customHeight="1" thickBot="1" x14ac:dyDescent="0.35">
      <c r="A199" s="17"/>
      <c r="B199" s="18" t="s">
        <v>34</v>
      </c>
      <c r="C199" s="19">
        <f>IFERROR(C185/C191,0)</f>
        <v>104.83231645353794</v>
      </c>
      <c r="D199" s="19">
        <f>IFERROR(D185/D191,0)</f>
        <v>85.710881420196358</v>
      </c>
      <c r="E199" s="19">
        <f>IFERROR(E185/E191,0)</f>
        <v>101.23248898526727</v>
      </c>
      <c r="F199" s="72">
        <f t="shared" si="76"/>
        <v>-3.599827468270675</v>
      </c>
      <c r="G199" s="19">
        <f>IFERROR(G185/G191,0)</f>
        <v>0</v>
      </c>
      <c r="H199" s="72">
        <f t="shared" si="77"/>
        <v>101.23248898526727</v>
      </c>
      <c r="I199" s="25">
        <f>IFERROR(E199/C199-1,0)</f>
        <v>-3.4338909890120894E-2</v>
      </c>
      <c r="J199" s="26">
        <f>IFERROR(E199/G199-1,0)</f>
        <v>0</v>
      </c>
      <c r="K199" s="57">
        <f>IFERROR(K185/K191,0)</f>
        <v>103.11959396722841</v>
      </c>
      <c r="L199" s="72">
        <f>IFERROR(E199-K199,0)</f>
        <v>-1.8871049819611443</v>
      </c>
      <c r="M199" s="73"/>
      <c r="N199" s="74"/>
    </row>
    <row r="200" spans="1:14" s="27" customFormat="1" ht="15" customHeight="1" thickBot="1" x14ac:dyDescent="0.35">
      <c r="A200" s="43" t="s">
        <v>27</v>
      </c>
      <c r="B200" s="44" t="s">
        <v>20</v>
      </c>
      <c r="C200" s="3">
        <f t="shared" ref="C200" si="78">SUM(C201:C203)</f>
        <v>3463715.6637340263</v>
      </c>
      <c r="D200" s="3">
        <f t="shared" ref="D200:E200" si="79">SUM(D201:D203)</f>
        <v>1640107.8585059829</v>
      </c>
      <c r="E200" s="3">
        <f t="shared" si="79"/>
        <v>1677745.0377479314</v>
      </c>
      <c r="F200" s="71">
        <f>IFERROR(SUM(F201:F203),0)</f>
        <v>-1785970.6259860948</v>
      </c>
      <c r="G200" s="3">
        <f t="shared" ref="G200" si="80">SUM(G201:G203)</f>
        <v>1706633.12</v>
      </c>
      <c r="H200" s="71">
        <f>IFERROR(E200-G200,0)</f>
        <v>-28888.082252068678</v>
      </c>
      <c r="I200" s="20">
        <f>IFERROR(E200/C200-1,0)</f>
        <v>-0.51562275872862662</v>
      </c>
      <c r="J200" s="11">
        <f>IFERROR(E200/G200-1,0)</f>
        <v>-1.6926943414802942E-2</v>
      </c>
      <c r="K200" s="51">
        <f t="shared" ref="K200" si="81">SUM(K201:K203)</f>
        <v>1857983.2518267424</v>
      </c>
      <c r="L200" s="71">
        <f>IFERROR(SUM(L201:L203),0)</f>
        <v>-180238.21407881114</v>
      </c>
      <c r="M200" s="73"/>
      <c r="N200" s="74"/>
    </row>
    <row r="201" spans="1:14" s="27" customFormat="1" ht="15" customHeight="1" thickBot="1" x14ac:dyDescent="0.35">
      <c r="A201" s="5"/>
      <c r="B201" s="6" t="s">
        <v>5</v>
      </c>
      <c r="C201" s="45">
        <f t="shared" ref="C201:E203" si="82">C186+C171+C156+C141+C126+C111+C96+C81+C66+C51+C36+C21</f>
        <v>3005311.6450882386</v>
      </c>
      <c r="D201" s="45">
        <f t="shared" si="82"/>
        <v>1345455.2064129952</v>
      </c>
      <c r="E201" s="45">
        <f t="shared" si="82"/>
        <v>1353086.6349439255</v>
      </c>
      <c r="F201" s="67">
        <f>IFERROR(E201-C201,0)</f>
        <v>-1652225.0101443131</v>
      </c>
      <c r="G201" s="45">
        <f t="shared" ref="G201:G203" si="83">G186+G171+G156+G141+G126+G111+G96+G81+G66+G51+G36+G21</f>
        <v>1364724.31</v>
      </c>
      <c r="H201" s="67">
        <f t="shared" ref="H201:H203" si="84">IFERROR(E201-G201,0)</f>
        <v>-11637.675056074513</v>
      </c>
      <c r="I201" s="21">
        <f t="shared" ref="I201:I203" si="85">IFERROR(E201/C201-1,0)</f>
        <v>-0.54976827872232281</v>
      </c>
      <c r="J201" s="22">
        <f t="shared" ref="J201:J203" si="86">IFERROR(E201/G201-1,0)</f>
        <v>-8.527491575257784E-3</v>
      </c>
      <c r="K201" s="52">
        <f t="shared" ref="K201" si="87">K186+K171+K156+K141+K126+K111+K96+K81+K66+K51+K36+K21</f>
        <v>1500185.8690000002</v>
      </c>
      <c r="L201" s="67">
        <f>IFERROR(E201-K201,0)</f>
        <v>-147099.23405607464</v>
      </c>
      <c r="M201" s="73"/>
      <c r="N201" s="74"/>
    </row>
    <row r="202" spans="1:14" s="27" customFormat="1" ht="15" customHeight="1" thickBot="1" x14ac:dyDescent="0.35">
      <c r="A202" s="5"/>
      <c r="B202" s="6" t="s">
        <v>6</v>
      </c>
      <c r="C202" s="45">
        <f t="shared" si="82"/>
        <v>308828.31950691203</v>
      </c>
      <c r="D202" s="45">
        <f t="shared" si="82"/>
        <v>160561.13931516607</v>
      </c>
      <c r="E202" s="45">
        <f t="shared" si="82"/>
        <v>180796.67530400585</v>
      </c>
      <c r="F202" s="67">
        <f t="shared" ref="F202:F203" si="88">IFERROR(E202-C202,0)</f>
        <v>-128031.64420290617</v>
      </c>
      <c r="G202" s="45">
        <f t="shared" si="83"/>
        <v>140869.25000000003</v>
      </c>
      <c r="H202" s="67">
        <f t="shared" si="84"/>
        <v>39927.425304005825</v>
      </c>
      <c r="I202" s="21">
        <f t="shared" si="85"/>
        <v>-0.4145722270785489</v>
      </c>
      <c r="J202" s="22">
        <f t="shared" si="86"/>
        <v>0.28343606077270822</v>
      </c>
      <c r="K202" s="52">
        <f t="shared" ref="K202" si="89">K187+K172+K157+K142+K127+K112+K97+K82+K67+K52+K37+K22</f>
        <v>200725.69782674251</v>
      </c>
      <c r="L202" s="67">
        <f>IFERROR(E202-K202,0)</f>
        <v>-19929.022522736661</v>
      </c>
      <c r="M202" s="73"/>
      <c r="N202" s="74"/>
    </row>
    <row r="203" spans="1:14" s="27" customFormat="1" ht="15" customHeight="1" thickBot="1" x14ac:dyDescent="0.35">
      <c r="A203" s="5"/>
      <c r="B203" s="6" t="s">
        <v>7</v>
      </c>
      <c r="C203" s="45">
        <f t="shared" si="82"/>
        <v>149575.69913887553</v>
      </c>
      <c r="D203" s="45">
        <f t="shared" si="82"/>
        <v>134091.51277782163</v>
      </c>
      <c r="E203" s="45">
        <f t="shared" si="82"/>
        <v>143861.72750000007</v>
      </c>
      <c r="F203" s="67">
        <f t="shared" si="88"/>
        <v>-5713.9716388754605</v>
      </c>
      <c r="G203" s="45">
        <f t="shared" si="83"/>
        <v>201039.56000000003</v>
      </c>
      <c r="H203" s="67">
        <f t="shared" si="84"/>
        <v>-57177.83249999996</v>
      </c>
      <c r="I203" s="21">
        <f t="shared" si="85"/>
        <v>-3.8201202947881541E-2</v>
      </c>
      <c r="J203" s="22">
        <f t="shared" si="86"/>
        <v>-0.28441085177464553</v>
      </c>
      <c r="K203" s="52">
        <f t="shared" ref="K203" si="90">K188+K173+K158+K143+K128+K113+K98+K83+K68+K53+K38+K23</f>
        <v>157071.68499999991</v>
      </c>
      <c r="L203" s="67">
        <f>IFERROR(E203-K203,0)</f>
        <v>-13209.957499999844</v>
      </c>
      <c r="M203" s="73"/>
      <c r="N203" s="74"/>
    </row>
    <row r="204" spans="1:14" s="27" customFormat="1" ht="5.0999999999999996" customHeight="1" thickBot="1" x14ac:dyDescent="0.35">
      <c r="A204" s="5"/>
      <c r="B204" s="6"/>
      <c r="C204" s="7"/>
      <c r="D204" s="7"/>
      <c r="E204" s="8"/>
      <c r="F204" s="67"/>
      <c r="G204" s="7"/>
      <c r="H204" s="67"/>
      <c r="I204" s="21"/>
      <c r="J204" s="21"/>
      <c r="K204" s="53"/>
      <c r="L204" s="67"/>
      <c r="M204" s="73"/>
      <c r="N204" s="74"/>
    </row>
    <row r="205" spans="1:14" s="27" customFormat="1" ht="15" customHeight="1" thickBot="1" x14ac:dyDescent="0.35">
      <c r="A205" s="5"/>
      <c r="B205" s="6" t="s">
        <v>8</v>
      </c>
      <c r="C205" s="45">
        <f t="shared" ref="C205:E206" si="91">C190+C175+C160+C145+C130+C115+C100+C85+C70+C55+C40+C25</f>
        <v>52925</v>
      </c>
      <c r="D205" s="45">
        <f t="shared" si="91"/>
        <v>52925</v>
      </c>
      <c r="E205" s="46">
        <f t="shared" si="91"/>
        <v>52925</v>
      </c>
      <c r="F205" s="67">
        <f>IFERROR(E205-C205,0)</f>
        <v>0</v>
      </c>
      <c r="G205" s="45">
        <f t="shared" ref="G205:G206" si="92">G190+G175+G160+G145+G130+G115+G100+G85+G70+G55+G40+G25</f>
        <v>53070</v>
      </c>
      <c r="H205" s="67">
        <f>IFERROR(E205-G205,0)</f>
        <v>-145</v>
      </c>
      <c r="I205" s="23"/>
      <c r="J205" s="24"/>
      <c r="K205" s="52">
        <f t="shared" ref="K205" si="93">K190+K175+K160+K145+K130+K115+K100+K85+K70+K55+K40+K25</f>
        <v>52925</v>
      </c>
      <c r="L205" s="67">
        <f>IFERROR(E205-K205,0)</f>
        <v>0</v>
      </c>
      <c r="M205" s="73"/>
      <c r="N205" s="74"/>
    </row>
    <row r="206" spans="1:14" s="27" customFormat="1" ht="15" customHeight="1" thickBot="1" x14ac:dyDescent="0.35">
      <c r="A206" s="5"/>
      <c r="B206" s="6" t="s">
        <v>9</v>
      </c>
      <c r="C206" s="45">
        <f t="shared" si="91"/>
        <v>31059</v>
      </c>
      <c r="D206" s="45">
        <f t="shared" si="91"/>
        <v>17851</v>
      </c>
      <c r="E206" s="46">
        <f t="shared" si="91"/>
        <v>17981</v>
      </c>
      <c r="F206" s="67">
        <f>IFERROR(E206-C206,0)</f>
        <v>-13078</v>
      </c>
      <c r="G206" s="45">
        <f t="shared" si="92"/>
        <v>18658</v>
      </c>
      <c r="H206" s="67">
        <f>IFERROR(E206-G206,0)</f>
        <v>-677</v>
      </c>
      <c r="I206" s="23"/>
      <c r="J206" s="24"/>
      <c r="K206" s="52">
        <f t="shared" ref="K206" si="94">K191+K176+K161+K146+K131+K116+K101+K86+K71+K56+K41+K26</f>
        <v>19656</v>
      </c>
      <c r="L206" s="67">
        <f>IFERROR(E206-K206,0)</f>
        <v>-1675</v>
      </c>
      <c r="M206" s="73"/>
      <c r="N206" s="74"/>
    </row>
    <row r="207" spans="1:14" s="38" customFormat="1" ht="15" customHeight="1" thickBot="1" x14ac:dyDescent="0.35">
      <c r="A207" s="9"/>
      <c r="B207" s="10" t="s">
        <v>10</v>
      </c>
      <c r="C207" s="11">
        <f>IFERROR(C206/C205,0)</f>
        <v>0.58684931506849314</v>
      </c>
      <c r="D207" s="11">
        <f>IFERROR(D206/D205,0)</f>
        <v>0.33728861596598964</v>
      </c>
      <c r="E207" s="11">
        <f>IFERROR(E206/E205,0)</f>
        <v>0.33974492205951817</v>
      </c>
      <c r="F207" s="68">
        <f>IFERROR(E207-C207,0)</f>
        <v>-0.24710439300897497</v>
      </c>
      <c r="G207" s="11">
        <f>IFERROR(G206/G205,0)</f>
        <v>0.35157339363105333</v>
      </c>
      <c r="H207" s="68">
        <f>IFERROR(E207-G207,0)</f>
        <v>-1.182847157153516E-2</v>
      </c>
      <c r="I207" s="20">
        <f>IFERROR(E207/C207-1,0)</f>
        <v>-0.42106957725618988</v>
      </c>
      <c r="J207" s="11">
        <f>IFERROR(E207/G207-1,0)</f>
        <v>-3.3644387731877501E-2</v>
      </c>
      <c r="K207" s="12">
        <f>IFERROR(K206/K205,0)</f>
        <v>0.371393481341521</v>
      </c>
      <c r="L207" s="68">
        <f>IFERROR(E207-K207,0)</f>
        <v>-3.1648559282002831E-2</v>
      </c>
      <c r="M207" s="73"/>
      <c r="N207" s="74"/>
    </row>
    <row r="208" spans="1:14" s="27" customFormat="1" ht="5.0999999999999996" customHeight="1" thickBot="1" x14ac:dyDescent="0.35">
      <c r="A208" s="5"/>
      <c r="B208" s="6"/>
      <c r="C208" s="7"/>
      <c r="D208" s="13"/>
      <c r="E208" s="14"/>
      <c r="F208" s="67"/>
      <c r="G208" s="13"/>
      <c r="H208" s="67"/>
      <c r="I208" s="21"/>
      <c r="J208" s="22"/>
      <c r="K208" s="54"/>
      <c r="L208" s="67"/>
      <c r="M208" s="73"/>
      <c r="N208" s="74"/>
    </row>
    <row r="209" spans="1:14" s="27" customFormat="1" ht="15" customHeight="1" thickBot="1" x14ac:dyDescent="0.35">
      <c r="A209" s="5"/>
      <c r="B209" s="6" t="s">
        <v>11</v>
      </c>
      <c r="C209" s="45">
        <f t="shared" ref="C209:E209" si="95">C194+C179+C164+C149+C134+C119+C104+C89+C74+C59+C44+C29</f>
        <v>49430.220000049994</v>
      </c>
      <c r="D209" s="45">
        <f t="shared" si="95"/>
        <v>28484</v>
      </c>
      <c r="E209" s="46">
        <f t="shared" si="95"/>
        <v>29012.35</v>
      </c>
      <c r="F209" s="67">
        <f>IFERROR(E209-C209,0)</f>
        <v>-20417.870000049996</v>
      </c>
      <c r="G209" s="45">
        <f t="shared" ref="G209" si="96">G194+G179+G164+G149+G134+G119+G104+G89+G74+G59+G44+G29</f>
        <v>26509</v>
      </c>
      <c r="H209" s="67">
        <f>IFERROR(E209-G209,0)</f>
        <v>2503.3499999999985</v>
      </c>
      <c r="I209" s="21">
        <f>IFERROR(E209/C209-1,0)</f>
        <v>-0.41306451802216027</v>
      </c>
      <c r="J209" s="22">
        <f>IFERROR(E209/G209-1,0)</f>
        <v>9.4433965822928068E-2</v>
      </c>
      <c r="K209" s="52">
        <f t="shared" ref="K209" si="97">K194+K179+K164+K149+K134+K119+K104+K89+K74+K59+K44+K29</f>
        <v>31935.25</v>
      </c>
      <c r="L209" s="67">
        <f>IFERROR(E209-K209,0)</f>
        <v>-2922.9000000000015</v>
      </c>
      <c r="M209" s="73"/>
      <c r="N209" s="74"/>
    </row>
    <row r="210" spans="1:14" s="27" customFormat="1" ht="15" customHeight="1" thickBot="1" x14ac:dyDescent="0.35">
      <c r="A210" s="5"/>
      <c r="B210" s="6" t="s">
        <v>12</v>
      </c>
      <c r="C210" s="15">
        <f>IFERROR(C209/C206,0)</f>
        <v>1.5914942528751728</v>
      </c>
      <c r="D210" s="15">
        <f>IFERROR(D209/D206,0)</f>
        <v>1.5956529045991821</v>
      </c>
      <c r="E210" s="39">
        <f>IFERROR(E209/E206,0)</f>
        <v>1.6135003614926866</v>
      </c>
      <c r="F210" s="69">
        <f>IFERROR(E210-C210,0)</f>
        <v>2.2006108617513842E-2</v>
      </c>
      <c r="G210" s="39">
        <f>IFERROR(G209/G206,0)</f>
        <v>1.4207846500160788</v>
      </c>
      <c r="H210" s="69">
        <f>IFERROR(E210-G210,0)</f>
        <v>0.19271571147660782</v>
      </c>
      <c r="I210" s="21"/>
      <c r="J210" s="22"/>
      <c r="K210" s="55">
        <f>IFERROR(K209/K206,0)</f>
        <v>1.6247074684574685</v>
      </c>
      <c r="L210" s="69">
        <f>IFERROR(E210-K210,0)</f>
        <v>-1.1207106964781888E-2</v>
      </c>
      <c r="M210" s="73"/>
      <c r="N210" s="74"/>
    </row>
    <row r="211" spans="1:14" s="27" customFormat="1" ht="5.0999999999999996" customHeight="1" thickBot="1" x14ac:dyDescent="0.35">
      <c r="A211" s="5"/>
      <c r="B211" s="6"/>
      <c r="C211" s="7"/>
      <c r="D211" s="7"/>
      <c r="E211" s="8"/>
      <c r="F211" s="69"/>
      <c r="G211" s="8"/>
      <c r="H211" s="69"/>
      <c r="I211" s="21"/>
      <c r="J211" s="22"/>
      <c r="K211" s="53"/>
      <c r="L211" s="69"/>
      <c r="M211" s="73"/>
      <c r="N211" s="74"/>
    </row>
    <row r="212" spans="1:14" s="27" customFormat="1" ht="15" customHeight="1" thickBot="1" x14ac:dyDescent="0.35">
      <c r="A212" s="5"/>
      <c r="B212" s="6" t="s">
        <v>13</v>
      </c>
      <c r="C212" s="15">
        <f>IFERROR(C201/C206,0)</f>
        <v>96.761378186298288</v>
      </c>
      <c r="D212" s="15">
        <f>IFERROR(D201/D206,0)</f>
        <v>75.371419327376344</v>
      </c>
      <c r="E212" s="39">
        <f>IFERROR(E201/E206,0)</f>
        <v>75.250911236523308</v>
      </c>
      <c r="F212" s="69">
        <f>IFERROR(E212-C212,0)</f>
        <v>-21.51046694977498</v>
      </c>
      <c r="G212" s="39">
        <f>IFERROR(G201/G206,0)</f>
        <v>73.144190695680138</v>
      </c>
      <c r="H212" s="69">
        <f>IFERROR(E212-G212,0)</f>
        <v>2.1067205408431704</v>
      </c>
      <c r="I212" s="21">
        <f>IFERROR(E212/C212-1,0)</f>
        <v>-0.22230426388057511</v>
      </c>
      <c r="J212" s="22">
        <f>IFERROR(E212/G212-1,0)</f>
        <v>2.8802294766077541E-2</v>
      </c>
      <c r="K212" s="55">
        <f>IFERROR(K201/K206,0)</f>
        <v>76.32203240740742</v>
      </c>
      <c r="L212" s="69">
        <f>IFERROR(E212-K212,0)</f>
        <v>-1.071121170884112</v>
      </c>
      <c r="M212" s="73"/>
      <c r="N212" s="74"/>
    </row>
    <row r="213" spans="1:14" s="38" customFormat="1" ht="15" customHeight="1" thickBot="1" x14ac:dyDescent="0.35">
      <c r="A213" s="9"/>
      <c r="B213" s="10" t="s">
        <v>14</v>
      </c>
      <c r="C213" s="16">
        <f>IFERROR(C201/C205,0)</f>
        <v>56.784348513712587</v>
      </c>
      <c r="D213" s="16">
        <f>IFERROR(D201/D205,0)</f>
        <v>25.421921708323008</v>
      </c>
      <c r="E213" s="40">
        <f>IFERROR(E201/E205,0)</f>
        <v>25.566114972960332</v>
      </c>
      <c r="F213" s="70">
        <f t="shared" ref="F213:F214" si="98">IFERROR(E213-C213,0)</f>
        <v>-31.218233540752255</v>
      </c>
      <c r="G213" s="40">
        <f>IFERROR(G201/G205,0)</f>
        <v>25.715551347277181</v>
      </c>
      <c r="H213" s="70">
        <f t="shared" ref="H213:H214" si="99">IFERROR(E213-G213,0)</f>
        <v>-0.1494363743168492</v>
      </c>
      <c r="I213" s="20">
        <f>IFERROR(E213/C213-1,0)</f>
        <v>-0.54976827872232281</v>
      </c>
      <c r="J213" s="11">
        <f>IFERROR(E213/G213-1,0)</f>
        <v>-5.8111285384776501E-3</v>
      </c>
      <c r="K213" s="56">
        <f>IFERROR(K201/K205,0)</f>
        <v>28.34550531884743</v>
      </c>
      <c r="L213" s="70">
        <f>IFERROR(E213-K213,0)</f>
        <v>-2.7793903458870979</v>
      </c>
      <c r="M213" s="73"/>
      <c r="N213" s="74"/>
    </row>
    <row r="214" spans="1:14" ht="15" customHeight="1" thickBot="1" x14ac:dyDescent="0.35">
      <c r="A214" s="17"/>
      <c r="B214" s="18" t="s">
        <v>34</v>
      </c>
      <c r="C214" s="19">
        <f>IFERROR(C200/C206,0)</f>
        <v>111.52051462487609</v>
      </c>
      <c r="D214" s="19">
        <f>IFERROR(D200/D206,0)</f>
        <v>91.877645986554413</v>
      </c>
      <c r="E214" s="19">
        <f>IFERROR(E200/E206,0)</f>
        <v>93.306547897665951</v>
      </c>
      <c r="F214" s="72">
        <f t="shared" si="98"/>
        <v>-18.213966727210135</v>
      </c>
      <c r="G214" s="19">
        <f>IFERROR(G200/G206,0)</f>
        <v>91.469242148140211</v>
      </c>
      <c r="H214" s="72">
        <f t="shared" si="99"/>
        <v>1.8373057495257399</v>
      </c>
      <c r="I214" s="25">
        <f>IFERROR(E214/C214-1,0)</f>
        <v>-0.16332391209345509</v>
      </c>
      <c r="J214" s="26">
        <f>IFERROR(E214/G214-1,0)</f>
        <v>2.0086596394338851E-2</v>
      </c>
      <c r="K214" s="57">
        <f>IFERROR(K200/K206,0)</f>
        <v>94.524992461677982</v>
      </c>
      <c r="L214" s="72">
        <f>IFERROR(E214-K214,0)</f>
        <v>-1.2184445640120316</v>
      </c>
      <c r="M214" s="73"/>
      <c r="N214" s="74"/>
    </row>
  </sheetData>
  <sheetProtection algorithmName="SHA-512" hashValue="gAk43dk4ESJTFatg+n77YsotxKbQJw2i7X8bLH1dUBbxJzdgxQNojn2Pmv4uuSIwcUyzpp3KBRRx+NtsahpSjQ==" saltValue="OjrHlJ29MqUrQxCEHhwqfw==" spinCount="100000" sheet="1" objects="1" scenarios="1"/>
  <mergeCells count="19">
    <mergeCell ref="M170:N184"/>
    <mergeCell ref="M185:N199"/>
    <mergeCell ref="M200:N214"/>
    <mergeCell ref="M140:N154"/>
    <mergeCell ref="M155:N169"/>
    <mergeCell ref="M110:N124"/>
    <mergeCell ref="M125:N139"/>
    <mergeCell ref="M80:N94"/>
    <mergeCell ref="M95:N109"/>
    <mergeCell ref="M50:N64"/>
    <mergeCell ref="M65:N79"/>
    <mergeCell ref="M20:N34"/>
    <mergeCell ref="M35:N49"/>
    <mergeCell ref="A3:A4"/>
    <mergeCell ref="B3:B4"/>
    <mergeCell ref="M3:N3"/>
    <mergeCell ref="M4:N4"/>
    <mergeCell ref="C3:E3"/>
    <mergeCell ref="M5:N19"/>
  </mergeCells>
  <conditionalFormatting sqref="I159">
    <cfRule type="expression" dxfId="379" priority="72">
      <formula>$I155&gt;=0</formula>
    </cfRule>
    <cfRule type="expression" dxfId="378" priority="73">
      <formula>$I155&lt;0</formula>
    </cfRule>
  </conditionalFormatting>
  <conditionalFormatting sqref="J159">
    <cfRule type="expression" dxfId="377" priority="70">
      <formula>$J155&gt;=0</formula>
    </cfRule>
    <cfRule type="expression" dxfId="376" priority="71">
      <formula>$J155&lt;0</formula>
    </cfRule>
  </conditionalFormatting>
  <conditionalFormatting sqref="I174">
    <cfRule type="expression" dxfId="375" priority="68">
      <formula>$I170&gt;=0</formula>
    </cfRule>
    <cfRule type="expression" dxfId="374" priority="69">
      <formula>$I170&lt;0</formula>
    </cfRule>
  </conditionalFormatting>
  <conditionalFormatting sqref="J174">
    <cfRule type="expression" dxfId="373" priority="66">
      <formula>$J170&gt;=0</formula>
    </cfRule>
    <cfRule type="expression" dxfId="372" priority="67">
      <formula>$J170&lt;0</formula>
    </cfRule>
  </conditionalFormatting>
  <conditionalFormatting sqref="I24">
    <cfRule type="expression" dxfId="371" priority="119">
      <formula>$I20&gt;=0</formula>
    </cfRule>
    <cfRule type="expression" dxfId="370" priority="120">
      <formula>$I20&lt;0</formula>
    </cfRule>
  </conditionalFormatting>
  <conditionalFormatting sqref="J24">
    <cfRule type="expression" dxfId="369" priority="117">
      <formula>$J20&gt;=0</formula>
    </cfRule>
    <cfRule type="expression" dxfId="368" priority="118">
      <formula>$J20&lt;0</formula>
    </cfRule>
  </conditionalFormatting>
  <conditionalFormatting sqref="I39">
    <cfRule type="expression" dxfId="367" priority="104">
      <formula>$I35&gt;=0</formula>
    </cfRule>
    <cfRule type="expression" dxfId="366" priority="105">
      <formula>$I35&lt;0</formula>
    </cfRule>
  </conditionalFormatting>
  <conditionalFormatting sqref="J39">
    <cfRule type="expression" dxfId="365" priority="102">
      <formula>$J35&gt;=0</formula>
    </cfRule>
    <cfRule type="expression" dxfId="364" priority="103">
      <formula>$J35&lt;0</formula>
    </cfRule>
  </conditionalFormatting>
  <conditionalFormatting sqref="I54">
    <cfRule type="expression" dxfId="363" priority="100">
      <formula>$I50&gt;=0</formula>
    </cfRule>
    <cfRule type="expression" dxfId="362" priority="101">
      <formula>$I50&lt;0</formula>
    </cfRule>
  </conditionalFormatting>
  <conditionalFormatting sqref="J54">
    <cfRule type="expression" dxfId="361" priority="98">
      <formula>$J50&gt;=0</formula>
    </cfRule>
    <cfRule type="expression" dxfId="360" priority="99">
      <formula>$J50&lt;0</formula>
    </cfRule>
  </conditionalFormatting>
  <conditionalFormatting sqref="I69">
    <cfRule type="expression" dxfId="359" priority="96">
      <formula>$I65&gt;=0</formula>
    </cfRule>
    <cfRule type="expression" dxfId="358" priority="97">
      <formula>$I65&lt;0</formula>
    </cfRule>
  </conditionalFormatting>
  <conditionalFormatting sqref="J69">
    <cfRule type="expression" dxfId="357" priority="94">
      <formula>$J65&gt;=0</formula>
    </cfRule>
    <cfRule type="expression" dxfId="356" priority="95">
      <formula>$J65&lt;0</formula>
    </cfRule>
  </conditionalFormatting>
  <conditionalFormatting sqref="I84">
    <cfRule type="expression" dxfId="355" priority="92">
      <formula>$I80&gt;=0</formula>
    </cfRule>
    <cfRule type="expression" dxfId="354" priority="93">
      <formula>$I80&lt;0</formula>
    </cfRule>
  </conditionalFormatting>
  <conditionalFormatting sqref="J84">
    <cfRule type="expression" dxfId="353" priority="90">
      <formula>$J80&gt;=0</formula>
    </cfRule>
    <cfRule type="expression" dxfId="352" priority="91">
      <formula>$J80&lt;0</formula>
    </cfRule>
  </conditionalFormatting>
  <conditionalFormatting sqref="I99">
    <cfRule type="expression" dxfId="351" priority="88">
      <formula>$I95&gt;=0</formula>
    </cfRule>
    <cfRule type="expression" dxfId="350" priority="89">
      <formula>$I95&lt;0</formula>
    </cfRule>
  </conditionalFormatting>
  <conditionalFormatting sqref="J99">
    <cfRule type="expression" dxfId="349" priority="86">
      <formula>$J95&gt;=0</formula>
    </cfRule>
    <cfRule type="expression" dxfId="348" priority="87">
      <formula>$J95&lt;0</formula>
    </cfRule>
  </conditionalFormatting>
  <conditionalFormatting sqref="I114">
    <cfRule type="expression" dxfId="347" priority="84">
      <formula>$I110&gt;=0</formula>
    </cfRule>
    <cfRule type="expression" dxfId="346" priority="85">
      <formula>$I110&lt;0</formula>
    </cfRule>
  </conditionalFormatting>
  <conditionalFormatting sqref="J114">
    <cfRule type="expression" dxfId="345" priority="82">
      <formula>$J110&gt;=0</formula>
    </cfRule>
    <cfRule type="expression" dxfId="344" priority="83">
      <formula>$J110&lt;0</formula>
    </cfRule>
  </conditionalFormatting>
  <conditionalFormatting sqref="I129">
    <cfRule type="expression" dxfId="343" priority="80">
      <formula>$I125&gt;=0</formula>
    </cfRule>
    <cfRule type="expression" dxfId="342" priority="81">
      <formula>$I125&lt;0</formula>
    </cfRule>
  </conditionalFormatting>
  <conditionalFormatting sqref="J129">
    <cfRule type="expression" dxfId="341" priority="78">
      <formula>$J125&gt;=0</formula>
    </cfRule>
    <cfRule type="expression" dxfId="340" priority="79">
      <formula>$J125&lt;0</formula>
    </cfRule>
  </conditionalFormatting>
  <conditionalFormatting sqref="I144">
    <cfRule type="expression" dxfId="339" priority="76">
      <formula>$I140&gt;=0</formula>
    </cfRule>
    <cfRule type="expression" dxfId="338" priority="77">
      <formula>$I140&lt;0</formula>
    </cfRule>
  </conditionalFormatting>
  <conditionalFormatting sqref="J144">
    <cfRule type="expression" dxfId="337" priority="74">
      <formula>$J140&gt;=0</formula>
    </cfRule>
    <cfRule type="expression" dxfId="336" priority="75">
      <formula>$J140&lt;0</formula>
    </cfRule>
  </conditionalFormatting>
  <conditionalFormatting sqref="I189">
    <cfRule type="expression" dxfId="335" priority="64">
      <formula>$I185&gt;=0</formula>
    </cfRule>
    <cfRule type="expression" dxfId="334" priority="65">
      <formula>$I185&lt;0</formula>
    </cfRule>
  </conditionalFormatting>
  <conditionalFormatting sqref="J189">
    <cfRule type="expression" dxfId="333" priority="62">
      <formula>$J185&gt;=0</formula>
    </cfRule>
    <cfRule type="expression" dxfId="332" priority="63">
      <formula>$J185&lt;0</formula>
    </cfRule>
  </conditionalFormatting>
  <conditionalFormatting sqref="I204">
    <cfRule type="expression" dxfId="331" priority="60">
      <formula>$I200&gt;=0</formula>
    </cfRule>
    <cfRule type="expression" dxfId="330" priority="61">
      <formula>$I200&lt;0</formula>
    </cfRule>
  </conditionalFormatting>
  <conditionalFormatting sqref="J204">
    <cfRule type="expression" dxfId="329" priority="58">
      <formula>$J200&gt;=0</formula>
    </cfRule>
    <cfRule type="expression" dxfId="328" priority="59">
      <formula>$J200&lt;0</formula>
    </cfRule>
  </conditionalFormatting>
  <conditionalFormatting sqref="I9">
    <cfRule type="expression" dxfId="327" priority="56">
      <formula>$I5&gt;=0</formula>
    </cfRule>
    <cfRule type="expression" dxfId="326" priority="57">
      <formula>$I5&lt;0</formula>
    </cfRule>
  </conditionalFormatting>
  <conditionalFormatting sqref="J9">
    <cfRule type="expression" dxfId="325" priority="54">
      <formula>$J5&gt;=0</formula>
    </cfRule>
    <cfRule type="expression" dxfId="324" priority="55">
      <formula>$J5&lt;0</formula>
    </cfRule>
  </conditionalFormatting>
  <conditionalFormatting sqref="L207">
    <cfRule type="cellIs" dxfId="323" priority="53" operator="lessThan">
      <formula>0</formula>
    </cfRule>
  </conditionalFormatting>
  <conditionalFormatting sqref="H207">
    <cfRule type="cellIs" dxfId="322" priority="52" operator="lessThan">
      <formula>0</formula>
    </cfRule>
  </conditionalFormatting>
  <conditionalFormatting sqref="F207">
    <cfRule type="cellIs" dxfId="321" priority="51" operator="lessThan">
      <formula>0</formula>
    </cfRule>
  </conditionalFormatting>
  <conditionalFormatting sqref="F192">
    <cfRule type="cellIs" dxfId="320" priority="50" operator="lessThan">
      <formula>0</formula>
    </cfRule>
  </conditionalFormatting>
  <conditionalFormatting sqref="H192">
    <cfRule type="cellIs" dxfId="319" priority="49" operator="lessThan">
      <formula>0</formula>
    </cfRule>
  </conditionalFormatting>
  <conditionalFormatting sqref="L192">
    <cfRule type="cellIs" dxfId="318" priority="48" operator="lessThan">
      <formula>0</formula>
    </cfRule>
  </conditionalFormatting>
  <conditionalFormatting sqref="L177">
    <cfRule type="cellIs" dxfId="317" priority="47" operator="lessThan">
      <formula>0</formula>
    </cfRule>
  </conditionalFormatting>
  <conditionalFormatting sqref="H177">
    <cfRule type="cellIs" dxfId="316" priority="46" operator="lessThan">
      <formula>0</formula>
    </cfRule>
  </conditionalFormatting>
  <conditionalFormatting sqref="F177">
    <cfRule type="cellIs" dxfId="315" priority="45" operator="lessThan">
      <formula>0</formula>
    </cfRule>
  </conditionalFormatting>
  <conditionalFormatting sqref="F162">
    <cfRule type="cellIs" dxfId="314" priority="44" operator="lessThan">
      <formula>0</formula>
    </cfRule>
  </conditionalFormatting>
  <conditionalFormatting sqref="H162">
    <cfRule type="cellIs" dxfId="313" priority="43" operator="lessThan">
      <formula>0</formula>
    </cfRule>
  </conditionalFormatting>
  <conditionalFormatting sqref="L162">
    <cfRule type="cellIs" dxfId="312" priority="42" operator="lessThan">
      <formula>0</formula>
    </cfRule>
  </conditionalFormatting>
  <conditionalFormatting sqref="L147">
    <cfRule type="cellIs" dxfId="311" priority="41" operator="lessThan">
      <formula>0</formula>
    </cfRule>
  </conditionalFormatting>
  <conditionalFormatting sqref="H147">
    <cfRule type="cellIs" dxfId="310" priority="40" operator="lessThan">
      <formula>0</formula>
    </cfRule>
  </conditionalFormatting>
  <conditionalFormatting sqref="F147">
    <cfRule type="cellIs" dxfId="309" priority="39" operator="lessThan">
      <formula>0</formula>
    </cfRule>
  </conditionalFormatting>
  <conditionalFormatting sqref="F132">
    <cfRule type="cellIs" dxfId="308" priority="38" operator="lessThan">
      <formula>0</formula>
    </cfRule>
  </conditionalFormatting>
  <conditionalFormatting sqref="H132">
    <cfRule type="cellIs" dxfId="307" priority="37" operator="lessThan">
      <formula>0</formula>
    </cfRule>
  </conditionalFormatting>
  <conditionalFormatting sqref="L132">
    <cfRule type="cellIs" dxfId="306" priority="36" operator="lessThan">
      <formula>0</formula>
    </cfRule>
  </conditionalFormatting>
  <conditionalFormatting sqref="L117">
    <cfRule type="cellIs" dxfId="305" priority="35" operator="lessThan">
      <formula>0</formula>
    </cfRule>
  </conditionalFormatting>
  <conditionalFormatting sqref="H117">
    <cfRule type="cellIs" dxfId="304" priority="34" operator="lessThan">
      <formula>0</formula>
    </cfRule>
  </conditionalFormatting>
  <conditionalFormatting sqref="F117">
    <cfRule type="cellIs" dxfId="303" priority="33" operator="lessThan">
      <formula>0</formula>
    </cfRule>
  </conditionalFormatting>
  <conditionalFormatting sqref="F102">
    <cfRule type="cellIs" dxfId="302" priority="32" operator="lessThan">
      <formula>0</formula>
    </cfRule>
  </conditionalFormatting>
  <conditionalFormatting sqref="H102">
    <cfRule type="cellIs" dxfId="301" priority="31" operator="lessThan">
      <formula>0</formula>
    </cfRule>
  </conditionalFormatting>
  <conditionalFormatting sqref="L102">
    <cfRule type="cellIs" dxfId="300" priority="30" operator="lessThan">
      <formula>0</formula>
    </cfRule>
  </conditionalFormatting>
  <conditionalFormatting sqref="L87">
    <cfRule type="cellIs" dxfId="299" priority="29" operator="lessThan">
      <formula>0</formula>
    </cfRule>
  </conditionalFormatting>
  <conditionalFormatting sqref="H87">
    <cfRule type="cellIs" dxfId="298" priority="28" operator="lessThan">
      <formula>0</formula>
    </cfRule>
  </conditionalFormatting>
  <conditionalFormatting sqref="F87">
    <cfRule type="cellIs" dxfId="297" priority="27" operator="lessThan">
      <formula>0</formula>
    </cfRule>
  </conditionalFormatting>
  <conditionalFormatting sqref="F72">
    <cfRule type="cellIs" dxfId="296" priority="26" operator="lessThan">
      <formula>0</formula>
    </cfRule>
  </conditionalFormatting>
  <conditionalFormatting sqref="H72">
    <cfRule type="cellIs" dxfId="295" priority="25" operator="lessThan">
      <formula>0</formula>
    </cfRule>
  </conditionalFormatting>
  <conditionalFormatting sqref="L72">
    <cfRule type="cellIs" dxfId="294" priority="24" operator="lessThan">
      <formula>0</formula>
    </cfRule>
  </conditionalFormatting>
  <conditionalFormatting sqref="L57">
    <cfRule type="cellIs" dxfId="293" priority="23" operator="lessThan">
      <formula>0</formula>
    </cfRule>
  </conditionalFormatting>
  <conditionalFormatting sqref="H57">
    <cfRule type="cellIs" dxfId="292" priority="22" operator="lessThan">
      <formula>0</formula>
    </cfRule>
  </conditionalFormatting>
  <conditionalFormatting sqref="F57">
    <cfRule type="cellIs" dxfId="291" priority="21" operator="lessThan">
      <formula>0</formula>
    </cfRule>
  </conditionalFormatting>
  <conditionalFormatting sqref="F42">
    <cfRule type="cellIs" dxfId="290" priority="20" operator="lessThan">
      <formula>0</formula>
    </cfRule>
  </conditionalFormatting>
  <conditionalFormatting sqref="H42">
    <cfRule type="cellIs" dxfId="289" priority="19" operator="lessThan">
      <formula>0</formula>
    </cfRule>
  </conditionalFormatting>
  <conditionalFormatting sqref="L42">
    <cfRule type="cellIs" dxfId="288" priority="18" operator="lessThan">
      <formula>0</formula>
    </cfRule>
  </conditionalFormatting>
  <conditionalFormatting sqref="L27">
    <cfRule type="cellIs" dxfId="287" priority="17" operator="lessThan">
      <formula>0</formula>
    </cfRule>
  </conditionalFormatting>
  <conditionalFormatting sqref="H27">
    <cfRule type="cellIs" dxfId="286" priority="16" operator="lessThan">
      <formula>0</formula>
    </cfRule>
  </conditionalFormatting>
  <conditionalFormatting sqref="F27">
    <cfRule type="cellIs" dxfId="285" priority="15" operator="lessThan">
      <formula>0</formula>
    </cfRule>
  </conditionalFormatting>
  <dataValidations count="1">
    <dataValidation type="list" allowBlank="1" showInputMessage="1" showErrorMessage="1" sqref="B3:B4" xr:uid="{00000000-0002-0000-0100-000000000000}">
      <formula1>hotel_name_list</formula1>
    </dataValidation>
  </dataValidations>
  <pageMargins left="0.70866141732283472" right="0.70866141732283472" top="0.59055118110236227" bottom="0.59055118110236227" header="0.31496062992125984" footer="0.31496062992125984"/>
  <pageSetup paperSize="9" scale="45" fitToHeight="0" orientation="portrait" r:id="rId1"/>
  <rowBreaks count="1" manualBreakCount="1">
    <brk id="109" max="16383" man="1"/>
  </rowBreaks>
  <ignoredErrors>
    <ignoredError sqref="F5:F34 L20:L34 F200:F214 L200:L214 F35:F199 L35:L199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16">
    <tabColor theme="3" tint="0.39997558519241921"/>
    <outlinePr summaryBelow="0" summaryRight="0"/>
    <pageSetUpPr fitToPage="1"/>
  </sheetPr>
  <dimension ref="A1:N214"/>
  <sheetViews>
    <sheetView showGridLines="0" zoomScale="80" zoomScaleNormal="80" zoomScaleSheetLayoutView="85" workbookViewId="0">
      <pane ySplit="19" topLeftCell="A170" activePane="bottomLeft" state="frozen"/>
      <selection activeCell="B3" sqref="B3:B4"/>
      <selection pane="bottomLeft" activeCell="A170" sqref="A170"/>
    </sheetView>
  </sheetViews>
  <sheetFormatPr baseColWidth="10" defaultColWidth="11.44140625" defaultRowHeight="15" x14ac:dyDescent="0.3"/>
  <cols>
    <col min="1" max="1" width="4.88671875" style="27" bestFit="1" customWidth="1"/>
    <col min="2" max="2" width="20.44140625" style="27" bestFit="1" customWidth="1"/>
    <col min="3" max="5" width="13.6640625" style="27" customWidth="1"/>
    <col min="6" max="6" width="13.6640625" style="28" customWidth="1"/>
    <col min="7" max="7" width="13.6640625" style="27" customWidth="1"/>
    <col min="8" max="8" width="13.6640625" style="28" customWidth="1"/>
    <col min="9" max="11" width="13.6640625" style="27" customWidth="1"/>
    <col min="12" max="12" width="13.6640625" style="28" customWidth="1"/>
    <col min="13" max="13" width="7.88671875" style="27" customWidth="1"/>
    <col min="14" max="14" width="23.6640625" style="27" customWidth="1"/>
    <col min="15" max="16384" width="11.44140625" style="30"/>
  </cols>
  <sheetData>
    <row r="1" spans="1:14" x14ac:dyDescent="0.3">
      <c r="M1" s="47">
        <f>IFERROR(VLOOKUP(B3,hotel_information,2,FALSE),0)</f>
        <v>237</v>
      </c>
      <c r="N1" s="29" t="s">
        <v>28</v>
      </c>
    </row>
    <row r="2" spans="1:14" ht="15.6" thickBot="1" x14ac:dyDescent="0.35">
      <c r="M2" s="47">
        <f>IFERROR(VLOOKUP(B3,hotel_information,3,FALSE),0)</f>
        <v>474</v>
      </c>
      <c r="N2" s="29" t="s">
        <v>29</v>
      </c>
    </row>
    <row r="3" spans="1:14" s="27" customFormat="1" ht="13.5" customHeight="1" thickBot="1" x14ac:dyDescent="0.3">
      <c r="A3" s="75"/>
      <c r="B3" s="77" t="s">
        <v>51</v>
      </c>
      <c r="C3" s="83">
        <v>2021</v>
      </c>
      <c r="D3" s="84"/>
      <c r="E3" s="85"/>
      <c r="F3" s="31"/>
      <c r="G3" s="31"/>
      <c r="H3" s="31"/>
      <c r="I3" s="31"/>
      <c r="J3" s="31"/>
      <c r="K3" s="32"/>
      <c r="L3" s="32"/>
      <c r="M3" s="79" t="s">
        <v>30</v>
      </c>
      <c r="N3" s="80"/>
    </row>
    <row r="4" spans="1:14" s="27" customFormat="1" ht="14.4" thickBot="1" x14ac:dyDescent="0.35">
      <c r="A4" s="76"/>
      <c r="B4" s="78"/>
      <c r="C4" s="48" t="s">
        <v>0</v>
      </c>
      <c r="D4" s="49" t="s">
        <v>1</v>
      </c>
      <c r="E4" s="49" t="s">
        <v>31</v>
      </c>
      <c r="F4" s="35" t="s">
        <v>2</v>
      </c>
      <c r="G4" s="49" t="s">
        <v>39</v>
      </c>
      <c r="H4" s="50" t="s">
        <v>38</v>
      </c>
      <c r="I4" s="49" t="s">
        <v>3</v>
      </c>
      <c r="J4" s="49" t="s">
        <v>4</v>
      </c>
      <c r="K4" s="48" t="s">
        <v>37</v>
      </c>
      <c r="L4" s="58" t="s">
        <v>32</v>
      </c>
      <c r="M4" s="81">
        <f>IFERROR(VLOOKUP(B3,hotel_information,6,FALSE),0)</f>
        <v>69.483423958405382</v>
      </c>
      <c r="N4" s="82"/>
    </row>
    <row r="5" spans="1:14" s="27" customFormat="1" ht="15" customHeight="1" thickBot="1" x14ac:dyDescent="0.35">
      <c r="A5" s="36" t="s">
        <v>27</v>
      </c>
      <c r="B5" s="37" t="str">
        <f>'Region Berlin'!B5</f>
        <v>Dezember</v>
      </c>
      <c r="C5" s="3">
        <f>SUM(C6:C8)</f>
        <v>4258043</v>
      </c>
      <c r="D5" s="3">
        <f>SUM(D6:D8)</f>
        <v>3503383</v>
      </c>
      <c r="E5" s="3">
        <f>SUM(E6:E8)</f>
        <v>3577190</v>
      </c>
      <c r="F5" s="66">
        <f>IFERROR(SUM(F6:F8),0)</f>
        <v>-680853</v>
      </c>
      <c r="G5" s="3">
        <f>SUM(G6:G8)</f>
        <v>2967738</v>
      </c>
      <c r="H5" s="66">
        <f>IFERROR(E5-G5,0)</f>
        <v>609452</v>
      </c>
      <c r="I5" s="20">
        <f>IFERROR(E5/C5-1,0)</f>
        <v>-0.1598981034245075</v>
      </c>
      <c r="J5" s="11">
        <f>IFERROR(E5/G5-1,0)</f>
        <v>0.20535909841097832</v>
      </c>
      <c r="K5" s="51">
        <f>SUM(K6:K8)</f>
        <v>3835638</v>
      </c>
      <c r="L5" s="66">
        <f>IFERROR(SUM(L6:L8),0)</f>
        <v>-258448</v>
      </c>
      <c r="M5" s="73"/>
      <c r="N5" s="74"/>
    </row>
    <row r="6" spans="1:14" s="27" customFormat="1" ht="15" customHeight="1" thickBot="1" x14ac:dyDescent="0.35">
      <c r="A6" s="5"/>
      <c r="B6" s="6" t="s">
        <v>5</v>
      </c>
      <c r="C6" s="45" cm="1">
        <f t="array" ref="C6">NestedIF($B$5,C6)</f>
        <v>3469246</v>
      </c>
      <c r="D6" s="45" cm="1">
        <f t="array" ref="D6">NestedIF($B$5,D6)</f>
        <v>2733489</v>
      </c>
      <c r="E6" s="45" cm="1">
        <f t="array" ref="E6">NestedIF($B$5,E6)</f>
        <v>2753646</v>
      </c>
      <c r="F6" s="67">
        <f>IFERROR(E6-C6,0)</f>
        <v>-715600</v>
      </c>
      <c r="G6" s="45" cm="1">
        <f t="array" ref="G6">NestedIF($B$5,G6)</f>
        <v>2195048</v>
      </c>
      <c r="H6" s="67">
        <f t="shared" ref="H6:H8" si="0">IFERROR(E6-G6,0)</f>
        <v>558598</v>
      </c>
      <c r="I6" s="21">
        <f t="shared" ref="I6:I8" si="1">IFERROR(E6/C6-1,0)</f>
        <v>-0.20626960440395403</v>
      </c>
      <c r="J6" s="22">
        <f t="shared" ref="J6:J8" si="2">IFERROR(E6/G6-1,0)</f>
        <v>0.25448099540420066</v>
      </c>
      <c r="K6" s="52" cm="1">
        <f t="array" ref="K6">NestedIF($B$5,K6)</f>
        <v>2972331</v>
      </c>
      <c r="L6" s="67">
        <f>IFERROR(E6-K6,0)</f>
        <v>-218685</v>
      </c>
      <c r="M6" s="73"/>
      <c r="N6" s="74"/>
    </row>
    <row r="7" spans="1:14" s="27" customFormat="1" ht="15" customHeight="1" thickBot="1" x14ac:dyDescent="0.35">
      <c r="A7" s="5"/>
      <c r="B7" s="6" t="s">
        <v>6</v>
      </c>
      <c r="C7" s="45" cm="1">
        <f t="array" ref="C7">NestedIF($B$5,C7)</f>
        <v>548454</v>
      </c>
      <c r="D7" s="45" cm="1">
        <f t="array" ref="D7">NestedIF($B$5,D7)</f>
        <v>522636</v>
      </c>
      <c r="E7" s="45" cm="1">
        <f t="array" ref="E7">NestedIF($B$5,E7)</f>
        <v>570257</v>
      </c>
      <c r="F7" s="67">
        <f t="shared" ref="F7:F8" si="3">IFERROR(E7-C7,0)</f>
        <v>21803</v>
      </c>
      <c r="G7" s="45" cm="1">
        <f t="array" ref="G7">NestedIF($B$5,G7)</f>
        <v>452063</v>
      </c>
      <c r="H7" s="67">
        <f t="shared" si="0"/>
        <v>118194</v>
      </c>
      <c r="I7" s="21">
        <f t="shared" si="1"/>
        <v>3.9753561830162543E-2</v>
      </c>
      <c r="J7" s="22">
        <f t="shared" si="2"/>
        <v>0.26145470874634724</v>
      </c>
      <c r="K7" s="52" cm="1">
        <f t="array" ref="K7">NestedIF($B$5,K7)</f>
        <v>622963</v>
      </c>
      <c r="L7" s="67">
        <f>IFERROR(E7-K7,0)</f>
        <v>-52706</v>
      </c>
      <c r="M7" s="73"/>
      <c r="N7" s="74"/>
    </row>
    <row r="8" spans="1:14" s="27" customFormat="1" ht="15" customHeight="1" thickBot="1" x14ac:dyDescent="0.35">
      <c r="A8" s="5"/>
      <c r="B8" s="6" t="s">
        <v>7</v>
      </c>
      <c r="C8" s="45" cm="1">
        <f t="array" ref="C8">NestedIF($B$5,C8)</f>
        <v>240343</v>
      </c>
      <c r="D8" s="45" cm="1">
        <f t="array" ref="D8">NestedIF($B$5,D8)</f>
        <v>247258</v>
      </c>
      <c r="E8" s="45" cm="1">
        <f t="array" ref="E8">NestedIF($B$5,E8)</f>
        <v>253287</v>
      </c>
      <c r="F8" s="67">
        <f t="shared" si="3"/>
        <v>12944</v>
      </c>
      <c r="G8" s="45" cm="1">
        <f t="array" ref="G8">NestedIF($B$5,G8)</f>
        <v>320627</v>
      </c>
      <c r="H8" s="67">
        <f t="shared" si="0"/>
        <v>-67340</v>
      </c>
      <c r="I8" s="21">
        <f t="shared" si="1"/>
        <v>5.3856363613668856E-2</v>
      </c>
      <c r="J8" s="22">
        <f t="shared" si="2"/>
        <v>-0.21002598034476194</v>
      </c>
      <c r="K8" s="52" cm="1">
        <f t="array" ref="K8">NestedIF($B$5,K8)</f>
        <v>240344</v>
      </c>
      <c r="L8" s="67">
        <f>IFERROR(E8-K8,0)</f>
        <v>12943</v>
      </c>
      <c r="M8" s="73"/>
      <c r="N8" s="74"/>
    </row>
    <row r="9" spans="1:14" s="27" customFormat="1" ht="5.0999999999999996" customHeight="1" thickBot="1" x14ac:dyDescent="0.35">
      <c r="A9" s="5"/>
      <c r="B9" s="6"/>
      <c r="C9" s="7"/>
      <c r="D9" s="7"/>
      <c r="E9" s="8"/>
      <c r="F9" s="67"/>
      <c r="G9" s="7"/>
      <c r="H9" s="67"/>
      <c r="I9" s="21"/>
      <c r="J9" s="21"/>
      <c r="K9" s="53"/>
      <c r="L9" s="67"/>
      <c r="M9" s="73"/>
      <c r="N9" s="74"/>
    </row>
    <row r="10" spans="1:14" s="27" customFormat="1" ht="15" customHeight="1" thickBot="1" x14ac:dyDescent="0.35">
      <c r="A10" s="5"/>
      <c r="B10" s="6" t="s">
        <v>8</v>
      </c>
      <c r="C10" s="45" cm="1">
        <f t="array" ref="C10">NestedIF($B$5,C10)</f>
        <v>86505</v>
      </c>
      <c r="D10" s="45" cm="1">
        <f t="array" ref="D10">NestedIF($B$5,D10)</f>
        <v>86505</v>
      </c>
      <c r="E10" s="46" cm="1">
        <f t="array" ref="E10">NestedIF($B$5,E10)</f>
        <v>86505</v>
      </c>
      <c r="F10" s="67">
        <f>IFERROR(E10-C10,0)</f>
        <v>0</v>
      </c>
      <c r="G10" s="45" cm="1">
        <f t="array" ref="G10">NestedIF($B$5,G10)</f>
        <v>86742</v>
      </c>
      <c r="H10" s="67">
        <f>IFERROR(E10-G10,0)</f>
        <v>-237</v>
      </c>
      <c r="I10" s="23"/>
      <c r="J10" s="24"/>
      <c r="K10" s="52" cm="1">
        <f t="array" ref="K10">NestedIF($B$5,K10)</f>
        <v>86505</v>
      </c>
      <c r="L10" s="67">
        <f>IFERROR(E10-K10,0)</f>
        <v>0</v>
      </c>
      <c r="M10" s="73"/>
      <c r="N10" s="74"/>
    </row>
    <row r="11" spans="1:14" s="27" customFormat="1" ht="15" customHeight="1" thickBot="1" x14ac:dyDescent="0.35">
      <c r="A11" s="5"/>
      <c r="B11" s="6" t="s">
        <v>9</v>
      </c>
      <c r="C11" s="45" cm="1">
        <f t="array" ref="C11">NestedIF($B$5,C11)</f>
        <v>33700</v>
      </c>
      <c r="D11" s="45" cm="1">
        <f t="array" ref="D11">NestedIF($B$5,D11)</f>
        <v>30597</v>
      </c>
      <c r="E11" s="46" cm="1">
        <f t="array" ref="E11">NestedIF($B$5,E11)</f>
        <v>30853</v>
      </c>
      <c r="F11" s="67">
        <f>IFERROR(E11-C11,0)</f>
        <v>-2847</v>
      </c>
      <c r="G11" s="45" cm="1">
        <f t="array" ref="G11">NestedIF($B$5,G11)</f>
        <v>24153</v>
      </c>
      <c r="H11" s="67">
        <f>IFERROR(E11-G11,0)</f>
        <v>6700</v>
      </c>
      <c r="I11" s="23"/>
      <c r="J11" s="24"/>
      <c r="K11" s="52" cm="1">
        <f t="array" ref="K11">NestedIF($B$5,K11)</f>
        <v>33003</v>
      </c>
      <c r="L11" s="67">
        <f>IFERROR(E11-K11,0)</f>
        <v>-2150</v>
      </c>
      <c r="M11" s="73"/>
      <c r="N11" s="74"/>
    </row>
    <row r="12" spans="1:14" s="38" customFormat="1" ht="15" customHeight="1" thickBot="1" x14ac:dyDescent="0.35">
      <c r="A12" s="9"/>
      <c r="B12" s="10" t="s">
        <v>10</v>
      </c>
      <c r="C12" s="11">
        <f>IFERROR(C11/C10,0)</f>
        <v>0.38957285706028555</v>
      </c>
      <c r="D12" s="11">
        <f>IFERROR(D11/D10,0)</f>
        <v>0.3537020981446159</v>
      </c>
      <c r="E12" s="11">
        <f>IFERROR(E11/E10,0)</f>
        <v>0.35666146465522225</v>
      </c>
      <c r="F12" s="68">
        <f>IFERROR(E12-C12,0)</f>
        <v>-3.29113924050633E-2</v>
      </c>
      <c r="G12" s="11">
        <f>IFERROR(G11/G10,0)</f>
        <v>0.27844642733623848</v>
      </c>
      <c r="H12" s="68">
        <f>IFERROR(E12-G12,0)</f>
        <v>7.8215037318983771E-2</v>
      </c>
      <c r="I12" s="20">
        <f>IFERROR(E12/C12-1,0)</f>
        <v>-8.4480712166172145E-2</v>
      </c>
      <c r="J12" s="11">
        <f>IFERROR(E12/G12-1,0)</f>
        <v>0.28089797404559635</v>
      </c>
      <c r="K12" s="12">
        <f>IFERROR(K11/K10,0)</f>
        <v>0.38151551933414252</v>
      </c>
      <c r="L12" s="68">
        <f>IFERROR(E12-K12,0)</f>
        <v>-2.4854054678920268E-2</v>
      </c>
      <c r="M12" s="73"/>
      <c r="N12" s="74"/>
    </row>
    <row r="13" spans="1:14" s="27" customFormat="1" ht="5.0999999999999996" customHeight="1" thickBot="1" x14ac:dyDescent="0.35">
      <c r="A13" s="5"/>
      <c r="B13" s="6"/>
      <c r="C13" s="7"/>
      <c r="D13" s="13"/>
      <c r="E13" s="14"/>
      <c r="F13" s="67"/>
      <c r="G13" s="13"/>
      <c r="H13" s="67"/>
      <c r="I13" s="21"/>
      <c r="J13" s="22"/>
      <c r="K13" s="54"/>
      <c r="L13" s="67"/>
      <c r="M13" s="73"/>
      <c r="N13" s="74"/>
    </row>
    <row r="14" spans="1:14" s="27" customFormat="1" ht="15" customHeight="1" thickBot="1" x14ac:dyDescent="0.35">
      <c r="A14" s="5"/>
      <c r="B14" s="6" t="s">
        <v>11</v>
      </c>
      <c r="C14" s="45" cm="1">
        <f t="array" ref="C14">NestedIF($B$5,C14)</f>
        <v>51280</v>
      </c>
      <c r="D14" s="45" cm="1">
        <f t="array" ref="D14">NestedIF($B$5,D14)</f>
        <v>48079</v>
      </c>
      <c r="E14" s="46" cm="1">
        <f t="array" ref="E14">NestedIF($B$5,E14)</f>
        <v>48509</v>
      </c>
      <c r="F14" s="67">
        <f>IFERROR(E14-C14,0)</f>
        <v>-2771</v>
      </c>
      <c r="G14" s="45" cm="1">
        <f t="array" ref="G14">NestedIF($B$5,G14)</f>
        <v>37093</v>
      </c>
      <c r="H14" s="67">
        <f>IFERROR(E14-G14,0)</f>
        <v>11416</v>
      </c>
      <c r="I14" s="21">
        <f>IFERROR(E14/C14-1,0)</f>
        <v>-5.4036661466458691E-2</v>
      </c>
      <c r="J14" s="22">
        <f>IFERROR(E14/G14-1,0)</f>
        <v>0.30776696411721893</v>
      </c>
      <c r="K14" s="52" cm="1">
        <f t="array" ref="K14">NestedIF($B$5,K14)</f>
        <v>52094</v>
      </c>
      <c r="L14" s="67">
        <f>IFERROR(E14-K14,0)</f>
        <v>-3585</v>
      </c>
      <c r="M14" s="73"/>
      <c r="N14" s="74"/>
    </row>
    <row r="15" spans="1:14" s="27" customFormat="1" ht="15" customHeight="1" thickBot="1" x14ac:dyDescent="0.35">
      <c r="A15" s="5"/>
      <c r="B15" s="6" t="s">
        <v>12</v>
      </c>
      <c r="C15" s="15">
        <f>IFERROR(C14/C11,0)</f>
        <v>1.5216617210682493</v>
      </c>
      <c r="D15" s="15">
        <f>IFERROR(D14/D11,0)</f>
        <v>1.5713632055430271</v>
      </c>
      <c r="E15" s="39">
        <f>IFERROR(E14/E11,0)</f>
        <v>1.5722620166596442</v>
      </c>
      <c r="F15" s="69">
        <f>IFERROR(E15-C15,0)</f>
        <v>5.0600295591394895E-2</v>
      </c>
      <c r="G15" s="15">
        <f>IFERROR(G14/G11,0)</f>
        <v>1.53575125243241</v>
      </c>
      <c r="H15" s="69">
        <f>IFERROR(E15-G15,0)</f>
        <v>3.6510764227234205E-2</v>
      </c>
      <c r="I15" s="21"/>
      <c r="J15" s="22"/>
      <c r="K15" s="55">
        <f>IFERROR(K14/K11,0)</f>
        <v>1.5784625640093324</v>
      </c>
      <c r="L15" s="69">
        <f>IFERROR(E15-K15,0)</f>
        <v>-6.2005473496882235E-3</v>
      </c>
      <c r="M15" s="73"/>
      <c r="N15" s="74"/>
    </row>
    <row r="16" spans="1:14" s="27" customFormat="1" ht="5.0999999999999996" customHeight="1" thickBot="1" x14ac:dyDescent="0.35">
      <c r="A16" s="5"/>
      <c r="B16" s="6"/>
      <c r="C16" s="7"/>
      <c r="D16" s="7"/>
      <c r="E16" s="8"/>
      <c r="F16" s="69"/>
      <c r="G16" s="7"/>
      <c r="H16" s="69"/>
      <c r="I16" s="21"/>
      <c r="J16" s="22"/>
      <c r="K16" s="53"/>
      <c r="L16" s="69"/>
      <c r="M16" s="73"/>
      <c r="N16" s="74"/>
    </row>
    <row r="17" spans="1:14" s="27" customFormat="1" ht="15" customHeight="1" thickBot="1" x14ac:dyDescent="0.35">
      <c r="A17" s="5"/>
      <c r="B17" s="6" t="s">
        <v>13</v>
      </c>
      <c r="C17" s="15">
        <f>IFERROR(C6/C11,0)</f>
        <v>102.94498516320475</v>
      </c>
      <c r="D17" s="15">
        <f>IFERROR(D6/D11,0)</f>
        <v>89.338464555348565</v>
      </c>
      <c r="E17" s="39">
        <f>IFERROR(E6/E11,0)</f>
        <v>89.250510485204032</v>
      </c>
      <c r="F17" s="69">
        <f>IFERROR(E17-C17,0)</f>
        <v>-13.694474678000716</v>
      </c>
      <c r="G17" s="15">
        <f>IFERROR(G6/G11,0)</f>
        <v>90.880967167639625</v>
      </c>
      <c r="H17" s="69">
        <f>IFERROR(E17-G17,0)</f>
        <v>-1.6304566824355931</v>
      </c>
      <c r="I17" s="20">
        <f>IFERROR(E17/C17-1,0)</f>
        <v>-0.13302711789496169</v>
      </c>
      <c r="J17" s="11">
        <f>IFERROR(E17/G17-1,0)</f>
        <v>-1.7940573623386302E-2</v>
      </c>
      <c r="K17" s="55">
        <f>IFERROR(K6/K11,0)</f>
        <v>90.062448868284704</v>
      </c>
      <c r="L17" s="69">
        <f>IFERROR(E17-K17,0)</f>
        <v>-0.81193838308067257</v>
      </c>
      <c r="M17" s="73"/>
      <c r="N17" s="74"/>
    </row>
    <row r="18" spans="1:14" s="38" customFormat="1" ht="15" customHeight="1" thickBot="1" x14ac:dyDescent="0.35">
      <c r="A18" s="9"/>
      <c r="B18" s="10" t="s">
        <v>14</v>
      </c>
      <c r="C18" s="16">
        <f>IFERROR(C6/C10,0)</f>
        <v>40.104571990058375</v>
      </c>
      <c r="D18" s="16">
        <f>IFERROR(D6/D10,0)</f>
        <v>31.599202358245186</v>
      </c>
      <c r="E18" s="40">
        <f>IFERROR(E6/E10,0)</f>
        <v>31.832217790879138</v>
      </c>
      <c r="F18" s="70">
        <f t="shared" ref="F18:F19" si="4">IFERROR(E18-C18,0)</f>
        <v>-8.2723541991792366</v>
      </c>
      <c r="G18" s="16">
        <f>IFERROR(G6/G10,0)</f>
        <v>25.305480620691245</v>
      </c>
      <c r="H18" s="70">
        <f t="shared" ref="H18:H19" si="5">IFERROR(E18-G18,0)</f>
        <v>6.5267371701878929</v>
      </c>
      <c r="I18" s="20">
        <f>IFERROR(E18/C18-1,0)</f>
        <v>-0.20626960440395403</v>
      </c>
      <c r="J18" s="11">
        <f>IFERROR(E18/G18-1,0)</f>
        <v>0.25791792963818483</v>
      </c>
      <c r="K18" s="56">
        <f>IFERROR(K6/K10,0)</f>
        <v>34.360221952488295</v>
      </c>
      <c r="L18" s="70">
        <f>IFERROR(E18-K18,0)</f>
        <v>-2.5280041616091573</v>
      </c>
      <c r="M18" s="73"/>
      <c r="N18" s="74"/>
    </row>
    <row r="19" spans="1:14" ht="15" customHeight="1" thickBot="1" x14ac:dyDescent="0.35">
      <c r="A19" s="17"/>
      <c r="B19" s="18" t="s">
        <v>34</v>
      </c>
      <c r="C19" s="19">
        <f>IFERROR(C5/C11,0)</f>
        <v>126.35142433234421</v>
      </c>
      <c r="D19" s="19">
        <f>IFERROR(D5/D11,0)</f>
        <v>114.50086609798346</v>
      </c>
      <c r="E19" s="19">
        <f>IFERROR(E5/E11,0)</f>
        <v>115.94302012770233</v>
      </c>
      <c r="F19" s="69">
        <f t="shared" si="4"/>
        <v>-10.408404204641883</v>
      </c>
      <c r="G19" s="19">
        <f>IFERROR(G5/G11,0)</f>
        <v>122.87243820643398</v>
      </c>
      <c r="H19" s="69">
        <f t="shared" si="5"/>
        <v>-6.9294180787316577</v>
      </c>
      <c r="I19" s="41">
        <f>IFERROR(E19/C19-1,0)</f>
        <v>-8.2376627407574676E-2</v>
      </c>
      <c r="J19" s="42">
        <f>IFERROR(E19/G19-1,0)</f>
        <v>-5.6395219138483776E-2</v>
      </c>
      <c r="K19" s="57">
        <f>IFERROR(K5/K11,0)</f>
        <v>116.22088901008999</v>
      </c>
      <c r="L19" s="69">
        <f>IFERROR(E19-K19,0)</f>
        <v>-0.27786888238766494</v>
      </c>
      <c r="M19" s="73"/>
      <c r="N19" s="74"/>
    </row>
    <row r="20" spans="1:14" s="27" customFormat="1" ht="15" customHeight="1" thickBot="1" x14ac:dyDescent="0.35">
      <c r="A20" s="1"/>
      <c r="B20" s="2" t="s">
        <v>21</v>
      </c>
      <c r="C20" s="3">
        <f>SUM(C21:C23)</f>
        <v>0</v>
      </c>
      <c r="D20" s="3">
        <f>SUM(D21:D23)</f>
        <v>-9.9999999999999998E-13</v>
      </c>
      <c r="E20" s="4">
        <f>SUM(E21:E23)</f>
        <v>-9.9999999999999998E-13</v>
      </c>
      <c r="F20" s="71">
        <f>IFERROR(SUM(F21:F23),0)</f>
        <v>-9.9999999999999998E-13</v>
      </c>
      <c r="G20" s="3">
        <f>SUM(G21:G23)</f>
        <v>525371.67999999993</v>
      </c>
      <c r="H20" s="71">
        <f>IFERROR(E20-G20,0)</f>
        <v>-525371.67999999993</v>
      </c>
      <c r="I20" s="20">
        <f>IFERROR(E20/C20-1,0)</f>
        <v>0</v>
      </c>
      <c r="J20" s="11">
        <f>IFERROR(E20/G20-1,0)</f>
        <v>-1</v>
      </c>
      <c r="K20" s="51">
        <f>SUM(K21:K23)</f>
        <v>-9.9999999999999998E-13</v>
      </c>
      <c r="L20" s="71">
        <f>IFERROR(SUM(L21:L23),0)</f>
        <v>0</v>
      </c>
      <c r="M20" s="73"/>
      <c r="N20" s="74"/>
    </row>
    <row r="21" spans="1:14" s="27" customFormat="1" ht="15" customHeight="1" thickBot="1" x14ac:dyDescent="0.35">
      <c r="A21" s="5"/>
      <c r="B21" s="6" t="s">
        <v>5</v>
      </c>
      <c r="C21" s="45">
        <v>0</v>
      </c>
      <c r="D21" s="45">
        <v>0</v>
      </c>
      <c r="E21" s="45">
        <v>0</v>
      </c>
      <c r="F21" s="67">
        <f>IFERROR(E21-C21,0)</f>
        <v>0</v>
      </c>
      <c r="G21" s="45">
        <v>377801.1</v>
      </c>
      <c r="H21" s="67">
        <f t="shared" ref="H21:H23" si="6">IFERROR(E21-G21,0)</f>
        <v>-377801.1</v>
      </c>
      <c r="I21" s="21">
        <f t="shared" ref="I21:I23" si="7">IFERROR(E21/C21-1,0)</f>
        <v>0</v>
      </c>
      <c r="J21" s="22">
        <f t="shared" ref="J21:J23" si="8">IFERROR(E21/G21-1,0)</f>
        <v>-1</v>
      </c>
      <c r="K21" s="52">
        <v>0</v>
      </c>
      <c r="L21" s="67">
        <f>IFERROR(E21-K21,0)</f>
        <v>0</v>
      </c>
      <c r="M21" s="73"/>
      <c r="N21" s="74"/>
    </row>
    <row r="22" spans="1:14" s="27" customFormat="1" ht="15" customHeight="1" thickBot="1" x14ac:dyDescent="0.35">
      <c r="A22" s="5"/>
      <c r="B22" s="6" t="s">
        <v>6</v>
      </c>
      <c r="C22" s="45">
        <v>0</v>
      </c>
      <c r="D22" s="45">
        <v>0</v>
      </c>
      <c r="E22" s="45">
        <v>0</v>
      </c>
      <c r="F22" s="67">
        <f t="shared" ref="F22:F23" si="9">IFERROR(E22-C22,0)</f>
        <v>0</v>
      </c>
      <c r="G22" s="45">
        <v>95576.34</v>
      </c>
      <c r="H22" s="67">
        <f t="shared" si="6"/>
        <v>-95576.34</v>
      </c>
      <c r="I22" s="21">
        <f t="shared" si="7"/>
        <v>0</v>
      </c>
      <c r="J22" s="22">
        <f t="shared" si="8"/>
        <v>-1</v>
      </c>
      <c r="K22" s="52">
        <v>0</v>
      </c>
      <c r="L22" s="67">
        <f>IFERROR(E22-K22,0)</f>
        <v>0</v>
      </c>
      <c r="M22" s="73"/>
      <c r="N22" s="74"/>
    </row>
    <row r="23" spans="1:14" s="27" customFormat="1" ht="15" customHeight="1" thickBot="1" x14ac:dyDescent="0.35">
      <c r="A23" s="5"/>
      <c r="B23" s="6" t="s">
        <v>7</v>
      </c>
      <c r="C23" s="45">
        <v>0</v>
      </c>
      <c r="D23" s="45">
        <v>-9.9999999999999998E-13</v>
      </c>
      <c r="E23" s="45">
        <v>-9.9999999999999998E-13</v>
      </c>
      <c r="F23" s="67">
        <f t="shared" si="9"/>
        <v>-9.9999999999999998E-13</v>
      </c>
      <c r="G23" s="45">
        <v>51994.239999999998</v>
      </c>
      <c r="H23" s="67">
        <f t="shared" si="6"/>
        <v>-51994.239999999998</v>
      </c>
      <c r="I23" s="21">
        <f t="shared" si="7"/>
        <v>0</v>
      </c>
      <c r="J23" s="22">
        <f t="shared" si="8"/>
        <v>-1</v>
      </c>
      <c r="K23" s="52">
        <v>-9.9999999999999998E-13</v>
      </c>
      <c r="L23" s="67">
        <f>IFERROR(E23-K23,0)</f>
        <v>0</v>
      </c>
      <c r="M23" s="73"/>
      <c r="N23" s="74"/>
    </row>
    <row r="24" spans="1:14" s="27" customFormat="1" ht="5.0999999999999996" customHeight="1" thickBot="1" x14ac:dyDescent="0.35">
      <c r="A24" s="5"/>
      <c r="B24" s="6"/>
      <c r="C24" s="7"/>
      <c r="D24" s="7"/>
      <c r="E24" s="8"/>
      <c r="F24" s="67"/>
      <c r="G24" s="7"/>
      <c r="H24" s="67"/>
      <c r="I24" s="21"/>
      <c r="J24" s="21"/>
      <c r="K24" s="53"/>
      <c r="L24" s="67"/>
      <c r="M24" s="73"/>
      <c r="N24" s="74"/>
    </row>
    <row r="25" spans="1:14" s="27" customFormat="1" ht="15" customHeight="1" thickBot="1" x14ac:dyDescent="0.35">
      <c r="A25" s="5"/>
      <c r="B25" s="6" t="s">
        <v>8</v>
      </c>
      <c r="C25" s="45">
        <v>7347</v>
      </c>
      <c r="D25" s="45">
        <v>7347</v>
      </c>
      <c r="E25" s="46">
        <v>7347</v>
      </c>
      <c r="F25" s="67">
        <f>IFERROR(E25-C25,0)</f>
        <v>0</v>
      </c>
      <c r="G25" s="45">
        <v>7347</v>
      </c>
      <c r="H25" s="67">
        <f>IFERROR(E25-G25,0)</f>
        <v>0</v>
      </c>
      <c r="I25" s="23"/>
      <c r="J25" s="24"/>
      <c r="K25" s="52">
        <v>7347</v>
      </c>
      <c r="L25" s="67">
        <f>IFERROR(E25-K25,0)</f>
        <v>0</v>
      </c>
      <c r="M25" s="73"/>
      <c r="N25" s="74"/>
    </row>
    <row r="26" spans="1:14" s="27" customFormat="1" ht="15" customHeight="1" thickBot="1" x14ac:dyDescent="0.35">
      <c r="A26" s="5"/>
      <c r="B26" s="6" t="s">
        <v>9</v>
      </c>
      <c r="C26" s="45">
        <v>0</v>
      </c>
      <c r="D26" s="45">
        <v>0</v>
      </c>
      <c r="E26" s="46">
        <v>0</v>
      </c>
      <c r="F26" s="67">
        <f>IFERROR(E26-C26,0)</f>
        <v>0</v>
      </c>
      <c r="G26" s="45">
        <v>4364</v>
      </c>
      <c r="H26" s="67">
        <f>IFERROR(E26-G26,0)</f>
        <v>-4364</v>
      </c>
      <c r="I26" s="23"/>
      <c r="J26" s="24"/>
      <c r="K26" s="52">
        <v>0</v>
      </c>
      <c r="L26" s="67">
        <f>IFERROR(E26-K26,0)</f>
        <v>0</v>
      </c>
      <c r="M26" s="73"/>
      <c r="N26" s="74"/>
    </row>
    <row r="27" spans="1:14" s="38" customFormat="1" ht="15" customHeight="1" thickBot="1" x14ac:dyDescent="0.35">
      <c r="A27" s="9"/>
      <c r="B27" s="10" t="s">
        <v>10</v>
      </c>
      <c r="C27" s="11">
        <f>IFERROR(C26/C25,0)</f>
        <v>0</v>
      </c>
      <c r="D27" s="11">
        <f>IFERROR(D26/D25,0)</f>
        <v>0</v>
      </c>
      <c r="E27" s="11">
        <f>IFERROR(E26/E25,0)</f>
        <v>0</v>
      </c>
      <c r="F27" s="68">
        <f>IFERROR(E27-C27,0)</f>
        <v>0</v>
      </c>
      <c r="G27" s="11">
        <f>IFERROR(G26/G25,0)</f>
        <v>0.59398393902273039</v>
      </c>
      <c r="H27" s="68">
        <f>IFERROR(E27-G27,0)</f>
        <v>-0.59398393902273039</v>
      </c>
      <c r="I27" s="20">
        <f>IFERROR(E27/C27-1,0)</f>
        <v>0</v>
      </c>
      <c r="J27" s="11">
        <f>IFERROR(E27/G27-1,0)</f>
        <v>-1</v>
      </c>
      <c r="K27" s="12">
        <f>IFERROR(K26/K25,0)</f>
        <v>0</v>
      </c>
      <c r="L27" s="68">
        <f>IFERROR(E27-K27,0)</f>
        <v>0</v>
      </c>
      <c r="M27" s="73"/>
      <c r="N27" s="74"/>
    </row>
    <row r="28" spans="1:14" s="27" customFormat="1" ht="5.0999999999999996" customHeight="1" thickBot="1" x14ac:dyDescent="0.35">
      <c r="A28" s="5"/>
      <c r="B28" s="6"/>
      <c r="C28" s="7"/>
      <c r="D28" s="13"/>
      <c r="E28" s="14"/>
      <c r="F28" s="67"/>
      <c r="G28" s="13"/>
      <c r="H28" s="67"/>
      <c r="I28" s="21"/>
      <c r="J28" s="22"/>
      <c r="K28" s="54"/>
      <c r="L28" s="67"/>
      <c r="M28" s="73"/>
      <c r="N28" s="74"/>
    </row>
    <row r="29" spans="1:14" s="27" customFormat="1" ht="15" customHeight="1" thickBot="1" x14ac:dyDescent="0.35">
      <c r="A29" s="5"/>
      <c r="B29" s="6" t="s">
        <v>11</v>
      </c>
      <c r="C29" s="45">
        <v>0</v>
      </c>
      <c r="D29" s="45">
        <v>0</v>
      </c>
      <c r="E29" s="46">
        <v>0</v>
      </c>
      <c r="F29" s="67">
        <f>IFERROR(E29-C29,0)</f>
        <v>0</v>
      </c>
      <c r="G29" s="45">
        <v>6332</v>
      </c>
      <c r="H29" s="67">
        <f>IFERROR(E29-G29,0)</f>
        <v>-6332</v>
      </c>
      <c r="I29" s="21"/>
      <c r="J29" s="22"/>
      <c r="K29" s="52">
        <v>0</v>
      </c>
      <c r="L29" s="67">
        <f>IFERROR(E29-K29,0)</f>
        <v>0</v>
      </c>
      <c r="M29" s="73"/>
      <c r="N29" s="74"/>
    </row>
    <row r="30" spans="1:14" s="27" customFormat="1" ht="15" customHeight="1" thickBot="1" x14ac:dyDescent="0.35">
      <c r="A30" s="5"/>
      <c r="B30" s="6" t="s">
        <v>12</v>
      </c>
      <c r="C30" s="15">
        <f>IFERROR(C29/C26,0)</f>
        <v>0</v>
      </c>
      <c r="D30" s="15">
        <f>IFERROR(D29/D26,0)</f>
        <v>0</v>
      </c>
      <c r="E30" s="15">
        <f>IFERROR(E29/E26,0)</f>
        <v>0</v>
      </c>
      <c r="F30" s="69">
        <f>IFERROR(E30-C30,0)</f>
        <v>0</v>
      </c>
      <c r="G30" s="15">
        <f>IFERROR(G29/G26,0)</f>
        <v>1.4509624197983502</v>
      </c>
      <c r="H30" s="69">
        <f>IFERROR(E30-G30,0)</f>
        <v>-1.4509624197983502</v>
      </c>
      <c r="I30" s="21"/>
      <c r="J30" s="22"/>
      <c r="K30" s="55">
        <f>IFERROR(K29/K26,0)</f>
        <v>0</v>
      </c>
      <c r="L30" s="69">
        <f>IFERROR(E30-K30,0)</f>
        <v>0</v>
      </c>
      <c r="M30" s="73"/>
      <c r="N30" s="74"/>
    </row>
    <row r="31" spans="1:14" s="27" customFormat="1" ht="5.0999999999999996" customHeight="1" thickBot="1" x14ac:dyDescent="0.35">
      <c r="A31" s="5"/>
      <c r="B31" s="6"/>
      <c r="C31" s="7"/>
      <c r="D31" s="13"/>
      <c r="E31" s="14"/>
      <c r="F31" s="69"/>
      <c r="G31" s="13"/>
      <c r="H31" s="69"/>
      <c r="I31" s="21"/>
      <c r="J31" s="22"/>
      <c r="K31" s="54"/>
      <c r="L31" s="69"/>
      <c r="M31" s="73"/>
      <c r="N31" s="74"/>
    </row>
    <row r="32" spans="1:14" s="27" customFormat="1" ht="15" customHeight="1" thickBot="1" x14ac:dyDescent="0.35">
      <c r="A32" s="5"/>
      <c r="B32" s="6" t="s">
        <v>13</v>
      </c>
      <c r="C32" s="15">
        <f>IFERROR(C21/C26,0)</f>
        <v>0</v>
      </c>
      <c r="D32" s="15">
        <f>IFERROR(D21/D26,0)</f>
        <v>0</v>
      </c>
      <c r="E32" s="15">
        <f>IFERROR(E21/E26,0)</f>
        <v>0</v>
      </c>
      <c r="F32" s="69">
        <f>IFERROR(E32-C32,0)</f>
        <v>0</v>
      </c>
      <c r="G32" s="15">
        <f>IFERROR(G21/G26,0)</f>
        <v>86.572204399633364</v>
      </c>
      <c r="H32" s="69">
        <f>IFERROR(E32-G32,0)</f>
        <v>-86.572204399633364</v>
      </c>
      <c r="I32" s="21">
        <f>IFERROR(E32/C32-1,0)</f>
        <v>0</v>
      </c>
      <c r="J32" s="22">
        <f>IFERROR(E32/G32-1,0)</f>
        <v>-1</v>
      </c>
      <c r="K32" s="55">
        <f>IFERROR(K21/K26,0)</f>
        <v>0</v>
      </c>
      <c r="L32" s="69">
        <f>IFERROR(E32-K32,0)</f>
        <v>0</v>
      </c>
      <c r="M32" s="73"/>
      <c r="N32" s="74"/>
    </row>
    <row r="33" spans="1:14" s="38" customFormat="1" ht="15" customHeight="1" thickBot="1" x14ac:dyDescent="0.35">
      <c r="A33" s="9"/>
      <c r="B33" s="10" t="s">
        <v>14</v>
      </c>
      <c r="C33" s="16">
        <f>IFERROR(C21/C25,0)</f>
        <v>0</v>
      </c>
      <c r="D33" s="16">
        <f>IFERROR(D21/D25,0)</f>
        <v>0</v>
      </c>
      <c r="E33" s="16">
        <f>IFERROR(E21/E25,0)</f>
        <v>0</v>
      </c>
      <c r="F33" s="70">
        <f t="shared" ref="F33:F34" si="10">IFERROR(E33-C33,0)</f>
        <v>0</v>
      </c>
      <c r="G33" s="16">
        <f>IFERROR(G21/G25,0)</f>
        <v>51.422498979175174</v>
      </c>
      <c r="H33" s="70">
        <f t="shared" ref="H33:H34" si="11">IFERROR(E33-G33,0)</f>
        <v>-51.422498979175174</v>
      </c>
      <c r="I33" s="20">
        <f>IFERROR(E33/C33-1,0)</f>
        <v>0</v>
      </c>
      <c r="J33" s="11">
        <f>IFERROR(E33/G33-1,0)</f>
        <v>-1</v>
      </c>
      <c r="K33" s="56">
        <f>IFERROR(K21/K25,0)</f>
        <v>0</v>
      </c>
      <c r="L33" s="70">
        <f>IFERROR(E33-K33,0)</f>
        <v>0</v>
      </c>
      <c r="M33" s="73"/>
      <c r="N33" s="74"/>
    </row>
    <row r="34" spans="1:14" ht="15" customHeight="1" thickBot="1" x14ac:dyDescent="0.35">
      <c r="A34" s="17"/>
      <c r="B34" s="18" t="s">
        <v>34</v>
      </c>
      <c r="C34" s="19">
        <f>IFERROR(C20/C26,0)</f>
        <v>0</v>
      </c>
      <c r="D34" s="19">
        <f>IFERROR(D20/D26,0)</f>
        <v>0</v>
      </c>
      <c r="E34" s="19">
        <f>IFERROR(E20/E26,0)</f>
        <v>0</v>
      </c>
      <c r="F34" s="72">
        <f t="shared" si="10"/>
        <v>0</v>
      </c>
      <c r="G34" s="19">
        <f>IFERROR(G20/G26,0)</f>
        <v>120.38764436296974</v>
      </c>
      <c r="H34" s="72">
        <f t="shared" si="11"/>
        <v>-120.38764436296974</v>
      </c>
      <c r="I34" s="25">
        <f>IFERROR(E34/C34-1,0)</f>
        <v>0</v>
      </c>
      <c r="J34" s="26">
        <f>IFERROR(E34/G34-1,0)</f>
        <v>-1</v>
      </c>
      <c r="K34" s="57">
        <f>IFERROR(K20/K26,0)</f>
        <v>0</v>
      </c>
      <c r="L34" s="72">
        <f>IFERROR(E34-K34,0)</f>
        <v>0</v>
      </c>
      <c r="M34" s="73"/>
      <c r="N34" s="74"/>
    </row>
    <row r="35" spans="1:14" s="27" customFormat="1" ht="15" customHeight="1" thickBot="1" x14ac:dyDescent="0.35">
      <c r="A35" s="1"/>
      <c r="B35" s="2" t="s">
        <v>22</v>
      </c>
      <c r="C35" s="3">
        <f>SUM(C36:C38)</f>
        <v>0</v>
      </c>
      <c r="D35" s="3">
        <f>SUM(D36:D38)</f>
        <v>0</v>
      </c>
      <c r="E35" s="4">
        <f>SUM(E36:E38)</f>
        <v>0</v>
      </c>
      <c r="F35" s="71">
        <f>IFERROR(SUM(F36:F38),0)</f>
        <v>0</v>
      </c>
      <c r="G35" s="3">
        <f>SUM(G36:G38)</f>
        <v>629548.58000000007</v>
      </c>
      <c r="H35" s="71">
        <f>IFERROR(E35-G35,0)</f>
        <v>-629548.58000000007</v>
      </c>
      <c r="I35" s="20">
        <f>IFERROR(E35/C35-1,0)</f>
        <v>0</v>
      </c>
      <c r="J35" s="11">
        <f>IFERROR(E35/G35-1,0)</f>
        <v>-1</v>
      </c>
      <c r="K35" s="51">
        <f>SUM(K36:K38)</f>
        <v>0</v>
      </c>
      <c r="L35" s="71">
        <f>IFERROR(SUM(L36:L38),0)</f>
        <v>0</v>
      </c>
      <c r="M35" s="73"/>
      <c r="N35" s="74"/>
    </row>
    <row r="36" spans="1:14" s="27" customFormat="1" ht="15" customHeight="1" thickBot="1" x14ac:dyDescent="0.35">
      <c r="A36" s="5"/>
      <c r="B36" s="6" t="s">
        <v>5</v>
      </c>
      <c r="C36" s="45">
        <v>0</v>
      </c>
      <c r="D36" s="45">
        <v>0</v>
      </c>
      <c r="E36" s="45">
        <v>0</v>
      </c>
      <c r="F36" s="67">
        <f>IFERROR(E36-C36,0)</f>
        <v>0</v>
      </c>
      <c r="G36" s="45">
        <v>498042.62</v>
      </c>
      <c r="H36" s="67">
        <f t="shared" ref="H36:H38" si="12">IFERROR(E36-G36,0)</f>
        <v>-498042.62</v>
      </c>
      <c r="I36" s="21">
        <f t="shared" ref="I36:I38" si="13">IFERROR(E36/C36-1,0)</f>
        <v>0</v>
      </c>
      <c r="J36" s="22">
        <f t="shared" ref="J36:J38" si="14">IFERROR(E36/G36-1,0)</f>
        <v>-1</v>
      </c>
      <c r="K36" s="52">
        <v>0</v>
      </c>
      <c r="L36" s="67">
        <f>IFERROR(E36-K36,0)</f>
        <v>0</v>
      </c>
      <c r="M36" s="73"/>
      <c r="N36" s="74"/>
    </row>
    <row r="37" spans="1:14" s="27" customFormat="1" ht="15" customHeight="1" thickBot="1" x14ac:dyDescent="0.35">
      <c r="A37" s="5"/>
      <c r="B37" s="6" t="s">
        <v>6</v>
      </c>
      <c r="C37" s="45">
        <v>0</v>
      </c>
      <c r="D37" s="45">
        <v>0</v>
      </c>
      <c r="E37" s="45">
        <v>0</v>
      </c>
      <c r="F37" s="67">
        <f t="shared" ref="F37:F38" si="15">IFERROR(E37-C37,0)</f>
        <v>0</v>
      </c>
      <c r="G37" s="45">
        <v>93644.03</v>
      </c>
      <c r="H37" s="67">
        <f t="shared" si="12"/>
        <v>-93644.03</v>
      </c>
      <c r="I37" s="21">
        <f t="shared" si="13"/>
        <v>0</v>
      </c>
      <c r="J37" s="22">
        <f t="shared" si="14"/>
        <v>-1</v>
      </c>
      <c r="K37" s="52">
        <v>0</v>
      </c>
      <c r="L37" s="67">
        <f>IFERROR(E37-K37,0)</f>
        <v>0</v>
      </c>
      <c r="M37" s="73"/>
      <c r="N37" s="74"/>
    </row>
    <row r="38" spans="1:14" s="27" customFormat="1" ht="15" customHeight="1" thickBot="1" x14ac:dyDescent="0.35">
      <c r="A38" s="5"/>
      <c r="B38" s="6" t="s">
        <v>7</v>
      </c>
      <c r="C38" s="45">
        <v>0</v>
      </c>
      <c r="D38" s="45">
        <v>0</v>
      </c>
      <c r="E38" s="45">
        <v>0</v>
      </c>
      <c r="F38" s="67">
        <f t="shared" si="15"/>
        <v>0</v>
      </c>
      <c r="G38" s="45">
        <v>37861.93</v>
      </c>
      <c r="H38" s="67">
        <f t="shared" si="12"/>
        <v>-37861.93</v>
      </c>
      <c r="I38" s="21">
        <f t="shared" si="13"/>
        <v>0</v>
      </c>
      <c r="J38" s="22">
        <f t="shared" si="14"/>
        <v>-1</v>
      </c>
      <c r="K38" s="52">
        <v>0</v>
      </c>
      <c r="L38" s="67">
        <f>IFERROR(E38-K38,0)</f>
        <v>0</v>
      </c>
      <c r="M38" s="73"/>
      <c r="N38" s="74"/>
    </row>
    <row r="39" spans="1:14" s="27" customFormat="1" ht="5.0999999999999996" customHeight="1" thickBot="1" x14ac:dyDescent="0.35">
      <c r="A39" s="5"/>
      <c r="B39" s="6"/>
      <c r="C39" s="7"/>
      <c r="D39" s="7"/>
      <c r="E39" s="8"/>
      <c r="F39" s="67"/>
      <c r="G39" s="7"/>
      <c r="H39" s="67"/>
      <c r="I39" s="21"/>
      <c r="J39" s="21"/>
      <c r="K39" s="53"/>
      <c r="L39" s="67"/>
      <c r="M39" s="73"/>
      <c r="N39" s="74"/>
    </row>
    <row r="40" spans="1:14" s="27" customFormat="1" ht="15" customHeight="1" thickBot="1" x14ac:dyDescent="0.35">
      <c r="A40" s="5"/>
      <c r="B40" s="6" t="s">
        <v>8</v>
      </c>
      <c r="C40" s="45">
        <v>6636</v>
      </c>
      <c r="D40" s="45">
        <v>6636</v>
      </c>
      <c r="E40" s="46">
        <v>6636</v>
      </c>
      <c r="F40" s="67">
        <f>IFERROR(E40-C40,0)</f>
        <v>0</v>
      </c>
      <c r="G40" s="45">
        <v>6873</v>
      </c>
      <c r="H40" s="67">
        <f>IFERROR(E40-G40,0)</f>
        <v>-237</v>
      </c>
      <c r="I40" s="23"/>
      <c r="J40" s="24"/>
      <c r="K40" s="52">
        <v>6636</v>
      </c>
      <c r="L40" s="67">
        <f>IFERROR(E40-K40,0)</f>
        <v>0</v>
      </c>
      <c r="M40" s="73"/>
      <c r="N40" s="74"/>
    </row>
    <row r="41" spans="1:14" s="27" customFormat="1" ht="15" customHeight="1" thickBot="1" x14ac:dyDescent="0.35">
      <c r="A41" s="5"/>
      <c r="B41" s="6" t="s">
        <v>9</v>
      </c>
      <c r="C41" s="45">
        <v>0</v>
      </c>
      <c r="D41" s="45">
        <v>0</v>
      </c>
      <c r="E41" s="46">
        <v>0</v>
      </c>
      <c r="F41" s="67">
        <f>IFERROR(E41-C41,0)</f>
        <v>0</v>
      </c>
      <c r="G41" s="45">
        <v>4754</v>
      </c>
      <c r="H41" s="67">
        <f>IFERROR(E41-G41,0)</f>
        <v>-4754</v>
      </c>
      <c r="I41" s="23"/>
      <c r="J41" s="24"/>
      <c r="K41" s="52">
        <v>0</v>
      </c>
      <c r="L41" s="67">
        <f>IFERROR(E41-K41,0)</f>
        <v>0</v>
      </c>
      <c r="M41" s="73"/>
      <c r="N41" s="74"/>
    </row>
    <row r="42" spans="1:14" s="38" customFormat="1" ht="15" customHeight="1" thickBot="1" x14ac:dyDescent="0.35">
      <c r="A42" s="9"/>
      <c r="B42" s="10" t="s">
        <v>10</v>
      </c>
      <c r="C42" s="11">
        <f>IFERROR(C41/C40,0)</f>
        <v>0</v>
      </c>
      <c r="D42" s="11">
        <f>IFERROR(D41/D40,0)</f>
        <v>0</v>
      </c>
      <c r="E42" s="11">
        <f>IFERROR(E41/E40,0)</f>
        <v>0</v>
      </c>
      <c r="F42" s="68">
        <f>IFERROR(E42-C42,0)</f>
        <v>0</v>
      </c>
      <c r="G42" s="11">
        <f>IFERROR(G41/G40,0)</f>
        <v>0.69169212861923468</v>
      </c>
      <c r="H42" s="68">
        <f>IFERROR(E42-G42,0)</f>
        <v>-0.69169212861923468</v>
      </c>
      <c r="I42" s="20">
        <f>IFERROR(E42/C42-1,0)</f>
        <v>0</v>
      </c>
      <c r="J42" s="11">
        <f>IFERROR(E42/G42-1,0)</f>
        <v>-1</v>
      </c>
      <c r="K42" s="12">
        <f>IFERROR(K41/K40,0)</f>
        <v>0</v>
      </c>
      <c r="L42" s="68">
        <f>IFERROR(E42-K42,0)</f>
        <v>0</v>
      </c>
      <c r="M42" s="73"/>
      <c r="N42" s="74"/>
    </row>
    <row r="43" spans="1:14" s="27" customFormat="1" ht="5.0999999999999996" customHeight="1" thickBot="1" x14ac:dyDescent="0.35">
      <c r="A43" s="5"/>
      <c r="B43" s="6"/>
      <c r="C43" s="7"/>
      <c r="D43" s="13"/>
      <c r="E43" s="14"/>
      <c r="F43" s="67"/>
      <c r="G43" s="13"/>
      <c r="H43" s="67"/>
      <c r="I43" s="21"/>
      <c r="J43" s="22"/>
      <c r="K43" s="54"/>
      <c r="L43" s="67"/>
      <c r="M43" s="73"/>
      <c r="N43" s="74"/>
    </row>
    <row r="44" spans="1:14" s="27" customFormat="1" ht="15" customHeight="1" thickBot="1" x14ac:dyDescent="0.35">
      <c r="A44" s="5"/>
      <c r="B44" s="6" t="s">
        <v>11</v>
      </c>
      <c r="C44" s="45">
        <v>0</v>
      </c>
      <c r="D44" s="45">
        <v>0</v>
      </c>
      <c r="E44" s="46">
        <v>0</v>
      </c>
      <c r="F44" s="67">
        <f>IFERROR(E44-C44,0)</f>
        <v>0</v>
      </c>
      <c r="G44" s="45">
        <v>6727</v>
      </c>
      <c r="H44" s="67">
        <f>IFERROR(E44-G44,0)</f>
        <v>-6727</v>
      </c>
      <c r="I44" s="21"/>
      <c r="J44" s="22"/>
      <c r="K44" s="52">
        <v>0</v>
      </c>
      <c r="L44" s="67">
        <f>IFERROR(E44-K44,0)</f>
        <v>0</v>
      </c>
      <c r="M44" s="73"/>
      <c r="N44" s="74"/>
    </row>
    <row r="45" spans="1:14" s="27" customFormat="1" ht="15" customHeight="1" thickBot="1" x14ac:dyDescent="0.35">
      <c r="A45" s="5"/>
      <c r="B45" s="6" t="s">
        <v>12</v>
      </c>
      <c r="C45" s="15">
        <f>IFERROR(C44/C41,0)</f>
        <v>0</v>
      </c>
      <c r="D45" s="15">
        <f>IFERROR(D44/D41,0)</f>
        <v>0</v>
      </c>
      <c r="E45" s="15">
        <f>IFERROR(E44/E41,0)</f>
        <v>0</v>
      </c>
      <c r="F45" s="69">
        <f>IFERROR(E45-C45,0)</f>
        <v>0</v>
      </c>
      <c r="G45" s="15">
        <f>IFERROR(G44/G41,0)</f>
        <v>1.4150189314261674</v>
      </c>
      <c r="H45" s="69">
        <f>IFERROR(E45-G45,0)</f>
        <v>-1.4150189314261674</v>
      </c>
      <c r="I45" s="21"/>
      <c r="J45" s="22"/>
      <c r="K45" s="55">
        <f>IFERROR(K44/K41,0)</f>
        <v>0</v>
      </c>
      <c r="L45" s="69">
        <f>IFERROR(E45-K45,0)</f>
        <v>0</v>
      </c>
      <c r="M45" s="73"/>
      <c r="N45" s="74"/>
    </row>
    <row r="46" spans="1:14" s="27" customFormat="1" ht="5.0999999999999996" customHeight="1" thickBot="1" x14ac:dyDescent="0.35">
      <c r="A46" s="5"/>
      <c r="B46" s="6"/>
      <c r="C46" s="7"/>
      <c r="D46" s="13"/>
      <c r="E46" s="14"/>
      <c r="F46" s="69"/>
      <c r="G46" s="13"/>
      <c r="H46" s="69"/>
      <c r="I46" s="21"/>
      <c r="J46" s="22"/>
      <c r="K46" s="54"/>
      <c r="L46" s="69"/>
      <c r="M46" s="73"/>
      <c r="N46" s="74"/>
    </row>
    <row r="47" spans="1:14" s="27" customFormat="1" ht="15" customHeight="1" thickBot="1" x14ac:dyDescent="0.35">
      <c r="A47" s="5"/>
      <c r="B47" s="6" t="s">
        <v>13</v>
      </c>
      <c r="C47" s="15">
        <f>IFERROR(C36/C41,0)</f>
        <v>0</v>
      </c>
      <c r="D47" s="15">
        <f>IFERROR(D36/D41,0)</f>
        <v>0</v>
      </c>
      <c r="E47" s="15">
        <f>IFERROR(E36/E41,0)</f>
        <v>0</v>
      </c>
      <c r="F47" s="69">
        <f>IFERROR(E47-C47,0)</f>
        <v>0</v>
      </c>
      <c r="G47" s="15">
        <f>IFERROR(G36/G41,0)</f>
        <v>104.76285654185949</v>
      </c>
      <c r="H47" s="69">
        <f>IFERROR(E47-G47,0)</f>
        <v>-104.76285654185949</v>
      </c>
      <c r="I47" s="21">
        <f>IFERROR(E47/C47-1,0)</f>
        <v>0</v>
      </c>
      <c r="J47" s="22">
        <f>IFERROR(E47/G47-1,0)</f>
        <v>-1</v>
      </c>
      <c r="K47" s="55">
        <f>IFERROR(K36/K41,0)</f>
        <v>0</v>
      </c>
      <c r="L47" s="69">
        <f>IFERROR(E47-K47,0)</f>
        <v>0</v>
      </c>
      <c r="M47" s="73"/>
      <c r="N47" s="74"/>
    </row>
    <row r="48" spans="1:14" s="38" customFormat="1" ht="15" customHeight="1" thickBot="1" x14ac:dyDescent="0.35">
      <c r="A48" s="9"/>
      <c r="B48" s="10" t="s">
        <v>14</v>
      </c>
      <c r="C48" s="16">
        <f>IFERROR(C36/C40,0)</f>
        <v>0</v>
      </c>
      <c r="D48" s="16">
        <f>IFERROR(D36/D40,0)</f>
        <v>0</v>
      </c>
      <c r="E48" s="16">
        <f>IFERROR(E36/E40,0)</f>
        <v>0</v>
      </c>
      <c r="F48" s="70">
        <f t="shared" ref="F48:F49" si="16">IFERROR(E48-C48,0)</f>
        <v>0</v>
      </c>
      <c r="G48" s="16">
        <f>IFERROR(G36/G40,0)</f>
        <v>72.463643241670297</v>
      </c>
      <c r="H48" s="70">
        <f t="shared" ref="H48:H49" si="17">IFERROR(E48-G48,0)</f>
        <v>-72.463643241670297</v>
      </c>
      <c r="I48" s="20">
        <f>IFERROR(E48/C48-1,0)</f>
        <v>0</v>
      </c>
      <c r="J48" s="11">
        <f>IFERROR(E48/G48-1,0)</f>
        <v>-1</v>
      </c>
      <c r="K48" s="56">
        <f>IFERROR(K36/K40,0)</f>
        <v>0</v>
      </c>
      <c r="L48" s="70">
        <f>IFERROR(E48-K48,0)</f>
        <v>0</v>
      </c>
      <c r="M48" s="73"/>
      <c r="N48" s="74"/>
    </row>
    <row r="49" spans="1:14" ht="15" customHeight="1" thickBot="1" x14ac:dyDescent="0.35">
      <c r="A49" s="17"/>
      <c r="B49" s="18" t="s">
        <v>34</v>
      </c>
      <c r="C49" s="19">
        <f>IFERROR(C35/C41,0)</f>
        <v>0</v>
      </c>
      <c r="D49" s="19">
        <f>IFERROR(D35/D41,0)</f>
        <v>0</v>
      </c>
      <c r="E49" s="19">
        <f>IFERROR(E35/E41,0)</f>
        <v>0</v>
      </c>
      <c r="F49" s="72">
        <f t="shared" si="16"/>
        <v>0</v>
      </c>
      <c r="G49" s="19">
        <f>IFERROR(G35/G41,0)</f>
        <v>132.42502734539337</v>
      </c>
      <c r="H49" s="72">
        <f t="shared" si="17"/>
        <v>-132.42502734539337</v>
      </c>
      <c r="I49" s="25">
        <f>IFERROR(E49/C49-1,0)</f>
        <v>0</v>
      </c>
      <c r="J49" s="26">
        <f>IFERROR(E49/G49-1,0)</f>
        <v>-1</v>
      </c>
      <c r="K49" s="57">
        <f>IFERROR(K35/K41,0)</f>
        <v>0</v>
      </c>
      <c r="L49" s="72">
        <f>IFERROR(E49-K49,0)</f>
        <v>0</v>
      </c>
      <c r="M49" s="73"/>
      <c r="N49" s="74"/>
    </row>
    <row r="50" spans="1:14" s="27" customFormat="1" ht="15" customHeight="1" thickBot="1" x14ac:dyDescent="0.35">
      <c r="A50" s="1"/>
      <c r="B50" s="2" t="s">
        <v>23</v>
      </c>
      <c r="C50" s="3">
        <f>SUM(C51:C53)</f>
        <v>0</v>
      </c>
      <c r="D50" s="3">
        <f>SUM(D51:D53)</f>
        <v>-345.4</v>
      </c>
      <c r="E50" s="4">
        <f>SUM(E51:E53)</f>
        <v>-345.4</v>
      </c>
      <c r="F50" s="71">
        <f>IFERROR(SUM(F51:F53),0)</f>
        <v>-345.4</v>
      </c>
      <c r="G50" s="3">
        <f>SUM(G51:G53)</f>
        <v>306385.11</v>
      </c>
      <c r="H50" s="71">
        <f>IFERROR(E50-G50,0)</f>
        <v>-306730.51</v>
      </c>
      <c r="I50" s="20">
        <f>IFERROR(E50/C50-1,0)</f>
        <v>0</v>
      </c>
      <c r="J50" s="11">
        <f>IFERROR(E50/G50-1,0)</f>
        <v>-1.0011273393801676</v>
      </c>
      <c r="K50" s="51">
        <f>SUM(K51:K53)</f>
        <v>-345.4</v>
      </c>
      <c r="L50" s="71">
        <f>IFERROR(SUM(L51:L53),0)</f>
        <v>0</v>
      </c>
      <c r="M50" s="73"/>
      <c r="N50" s="74"/>
    </row>
    <row r="51" spans="1:14" s="27" customFormat="1" ht="15" customHeight="1" thickBot="1" x14ac:dyDescent="0.35">
      <c r="A51" s="5"/>
      <c r="B51" s="6" t="s">
        <v>5</v>
      </c>
      <c r="C51" s="45">
        <v>0</v>
      </c>
      <c r="D51" s="45">
        <v>280.31</v>
      </c>
      <c r="E51" s="45">
        <v>280.31</v>
      </c>
      <c r="F51" s="67">
        <f>IFERROR(E51-C51,0)</f>
        <v>280.31</v>
      </c>
      <c r="G51" s="45">
        <v>180737.09</v>
      </c>
      <c r="H51" s="67">
        <f t="shared" ref="H51:H53" si="18">IFERROR(E51-G51,0)</f>
        <v>-180456.78</v>
      </c>
      <c r="I51" s="21">
        <f t="shared" ref="I51:I53" si="19">IFERROR(E51/C51-1,0)</f>
        <v>0</v>
      </c>
      <c r="J51" s="22">
        <f t="shared" ref="J51:J53" si="20">IFERROR(E51/G51-1,0)</f>
        <v>-0.99844907318138187</v>
      </c>
      <c r="K51" s="52">
        <v>280.31</v>
      </c>
      <c r="L51" s="67">
        <f>IFERROR(E51-K51,0)</f>
        <v>0</v>
      </c>
      <c r="M51" s="73"/>
      <c r="N51" s="74"/>
    </row>
    <row r="52" spans="1:14" s="27" customFormat="1" ht="15" customHeight="1" thickBot="1" x14ac:dyDescent="0.35">
      <c r="A52" s="5"/>
      <c r="B52" s="6" t="s">
        <v>6</v>
      </c>
      <c r="C52" s="45">
        <v>0</v>
      </c>
      <c r="D52" s="45">
        <v>180.54</v>
      </c>
      <c r="E52" s="45">
        <v>180.54</v>
      </c>
      <c r="F52" s="67">
        <f t="shared" ref="F52:F53" si="21">IFERROR(E52-C52,0)</f>
        <v>180.54</v>
      </c>
      <c r="G52" s="45">
        <v>31859.99</v>
      </c>
      <c r="H52" s="67">
        <f t="shared" si="18"/>
        <v>-31679.45</v>
      </c>
      <c r="I52" s="21">
        <f t="shared" si="19"/>
        <v>0</v>
      </c>
      <c r="J52" s="22">
        <f t="shared" si="20"/>
        <v>-0.99433333155471804</v>
      </c>
      <c r="K52" s="52">
        <v>180.54</v>
      </c>
      <c r="L52" s="67">
        <f>IFERROR(E52-K52,0)</f>
        <v>0</v>
      </c>
      <c r="M52" s="73"/>
      <c r="N52" s="74"/>
    </row>
    <row r="53" spans="1:14" s="27" customFormat="1" ht="15" customHeight="1" thickBot="1" x14ac:dyDescent="0.35">
      <c r="A53" s="5"/>
      <c r="B53" s="6" t="s">
        <v>7</v>
      </c>
      <c r="C53" s="45">
        <v>0</v>
      </c>
      <c r="D53" s="45">
        <v>-806.25</v>
      </c>
      <c r="E53" s="45">
        <v>-806.25</v>
      </c>
      <c r="F53" s="67">
        <f t="shared" si="21"/>
        <v>-806.25</v>
      </c>
      <c r="G53" s="45">
        <v>93788.03</v>
      </c>
      <c r="H53" s="67">
        <f t="shared" si="18"/>
        <v>-94594.28</v>
      </c>
      <c r="I53" s="21">
        <f t="shared" si="19"/>
        <v>0</v>
      </c>
      <c r="J53" s="22">
        <f t="shared" si="20"/>
        <v>-1.0085965127959293</v>
      </c>
      <c r="K53" s="52">
        <v>-806.25</v>
      </c>
      <c r="L53" s="67">
        <f>IFERROR(E53-K53,0)</f>
        <v>0</v>
      </c>
      <c r="M53" s="73"/>
      <c r="N53" s="74"/>
    </row>
    <row r="54" spans="1:14" s="27" customFormat="1" ht="5.0999999999999996" customHeight="1" thickBot="1" x14ac:dyDescent="0.35">
      <c r="A54" s="5"/>
      <c r="B54" s="6"/>
      <c r="C54" s="7"/>
      <c r="D54" s="7"/>
      <c r="E54" s="8"/>
      <c r="F54" s="67"/>
      <c r="G54" s="7"/>
      <c r="H54" s="67"/>
      <c r="I54" s="21"/>
      <c r="J54" s="21"/>
      <c r="K54" s="53"/>
      <c r="L54" s="67"/>
      <c r="M54" s="73"/>
      <c r="N54" s="74"/>
    </row>
    <row r="55" spans="1:14" s="27" customFormat="1" ht="15" customHeight="1" thickBot="1" x14ac:dyDescent="0.35">
      <c r="A55" s="5"/>
      <c r="B55" s="6" t="s">
        <v>8</v>
      </c>
      <c r="C55" s="45">
        <v>7347</v>
      </c>
      <c r="D55" s="45">
        <v>7347</v>
      </c>
      <c r="E55" s="46">
        <v>7347</v>
      </c>
      <c r="F55" s="67">
        <f>IFERROR(E55-C55,0)</f>
        <v>0</v>
      </c>
      <c r="G55" s="45">
        <v>7347</v>
      </c>
      <c r="H55" s="67">
        <f>IFERROR(E55-G55,0)</f>
        <v>0</v>
      </c>
      <c r="I55" s="23"/>
      <c r="J55" s="24"/>
      <c r="K55" s="52">
        <v>7347</v>
      </c>
      <c r="L55" s="67">
        <f>IFERROR(E55-K55,0)</f>
        <v>0</v>
      </c>
      <c r="M55" s="73"/>
      <c r="N55" s="74"/>
    </row>
    <row r="56" spans="1:14" s="27" customFormat="1" ht="15" customHeight="1" thickBot="1" x14ac:dyDescent="0.35">
      <c r="A56" s="5"/>
      <c r="B56" s="6" t="s">
        <v>9</v>
      </c>
      <c r="C56" s="45">
        <v>0</v>
      </c>
      <c r="D56" s="45">
        <v>0</v>
      </c>
      <c r="E56" s="46">
        <v>0</v>
      </c>
      <c r="F56" s="67">
        <f>IFERROR(E56-C56,0)</f>
        <v>0</v>
      </c>
      <c r="G56" s="45">
        <v>1553</v>
      </c>
      <c r="H56" s="67">
        <f>IFERROR(E56-G56,0)</f>
        <v>-1553</v>
      </c>
      <c r="I56" s="23"/>
      <c r="J56" s="24"/>
      <c r="K56" s="52">
        <v>0</v>
      </c>
      <c r="L56" s="67">
        <f>IFERROR(E56-K56,0)</f>
        <v>0</v>
      </c>
      <c r="M56" s="73"/>
      <c r="N56" s="74"/>
    </row>
    <row r="57" spans="1:14" s="38" customFormat="1" ht="15" customHeight="1" thickBot="1" x14ac:dyDescent="0.35">
      <c r="A57" s="9"/>
      <c r="B57" s="10" t="s">
        <v>10</v>
      </c>
      <c r="C57" s="11">
        <f>IFERROR(C56/C55,0)</f>
        <v>0</v>
      </c>
      <c r="D57" s="11">
        <f>IFERROR(D56/D55,0)</f>
        <v>0</v>
      </c>
      <c r="E57" s="11">
        <f>IFERROR(E56/E55,0)</f>
        <v>0</v>
      </c>
      <c r="F57" s="68">
        <f>IFERROR(E57-C57,0)</f>
        <v>0</v>
      </c>
      <c r="G57" s="11">
        <f>IFERROR(G56/G55,0)</f>
        <v>0.211378794065605</v>
      </c>
      <c r="H57" s="68">
        <f>IFERROR(E57-G57,0)</f>
        <v>-0.211378794065605</v>
      </c>
      <c r="I57" s="20">
        <f>IFERROR(E57/C57-1,0)</f>
        <v>0</v>
      </c>
      <c r="J57" s="11">
        <f>IFERROR(E57/G57-1,0)</f>
        <v>-1</v>
      </c>
      <c r="K57" s="12">
        <f>IFERROR(K56/K55,0)</f>
        <v>0</v>
      </c>
      <c r="L57" s="68">
        <f>IFERROR(E57-K57,0)</f>
        <v>0</v>
      </c>
      <c r="M57" s="73"/>
      <c r="N57" s="74"/>
    </row>
    <row r="58" spans="1:14" s="27" customFormat="1" ht="5.0999999999999996" customHeight="1" thickBot="1" x14ac:dyDescent="0.35">
      <c r="A58" s="5"/>
      <c r="B58" s="6"/>
      <c r="C58" s="7"/>
      <c r="D58" s="13"/>
      <c r="E58" s="14"/>
      <c r="F58" s="67"/>
      <c r="G58" s="13"/>
      <c r="H58" s="67"/>
      <c r="I58" s="21"/>
      <c r="J58" s="22"/>
      <c r="K58" s="54"/>
      <c r="L58" s="67"/>
      <c r="M58" s="73"/>
      <c r="N58" s="74"/>
    </row>
    <row r="59" spans="1:14" s="27" customFormat="1" ht="15" customHeight="1" thickBot="1" x14ac:dyDescent="0.35">
      <c r="A59" s="5"/>
      <c r="B59" s="6" t="s">
        <v>11</v>
      </c>
      <c r="C59" s="45">
        <v>0</v>
      </c>
      <c r="D59" s="45">
        <v>0</v>
      </c>
      <c r="E59" s="46">
        <v>0</v>
      </c>
      <c r="F59" s="67">
        <f>IFERROR(E59-C59,0)</f>
        <v>0</v>
      </c>
      <c r="G59" s="45">
        <v>2286</v>
      </c>
      <c r="H59" s="67">
        <f>IFERROR(E59-G59,0)</f>
        <v>-2286</v>
      </c>
      <c r="I59" s="21"/>
      <c r="J59" s="22"/>
      <c r="K59" s="52">
        <v>0</v>
      </c>
      <c r="L59" s="67">
        <f>IFERROR(E59-K59,0)</f>
        <v>0</v>
      </c>
      <c r="M59" s="73"/>
      <c r="N59" s="74"/>
    </row>
    <row r="60" spans="1:14" s="27" customFormat="1" ht="15" customHeight="1" thickBot="1" x14ac:dyDescent="0.35">
      <c r="A60" s="5"/>
      <c r="B60" s="6" t="s">
        <v>12</v>
      </c>
      <c r="C60" s="15">
        <f>IFERROR(C59/C56,0)</f>
        <v>0</v>
      </c>
      <c r="D60" s="15">
        <f>IFERROR(D59/D56,0)</f>
        <v>0</v>
      </c>
      <c r="E60" s="15">
        <f>IFERROR(E59/E56,0)</f>
        <v>0</v>
      </c>
      <c r="F60" s="69">
        <f>IFERROR(E60-C60,0)</f>
        <v>0</v>
      </c>
      <c r="G60" s="15">
        <f>IFERROR(G59/G56,0)</f>
        <v>1.4719896973599484</v>
      </c>
      <c r="H60" s="69">
        <f>IFERROR(E60-G60,0)</f>
        <v>-1.4719896973599484</v>
      </c>
      <c r="I60" s="21"/>
      <c r="J60" s="22"/>
      <c r="K60" s="55">
        <f>IFERROR(K59/K56,0)</f>
        <v>0</v>
      </c>
      <c r="L60" s="69">
        <f>IFERROR(E60-K60,0)</f>
        <v>0</v>
      </c>
      <c r="M60" s="73"/>
      <c r="N60" s="74"/>
    </row>
    <row r="61" spans="1:14" s="27" customFormat="1" ht="5.0999999999999996" customHeight="1" thickBot="1" x14ac:dyDescent="0.35">
      <c r="A61" s="5"/>
      <c r="B61" s="6"/>
      <c r="C61" s="7"/>
      <c r="D61" s="13"/>
      <c r="E61" s="14"/>
      <c r="F61" s="69"/>
      <c r="G61" s="13"/>
      <c r="H61" s="69"/>
      <c r="I61" s="21"/>
      <c r="J61" s="22"/>
      <c r="K61" s="54"/>
      <c r="L61" s="69"/>
      <c r="M61" s="73"/>
      <c r="N61" s="74"/>
    </row>
    <row r="62" spans="1:14" s="27" customFormat="1" ht="15" customHeight="1" thickBot="1" x14ac:dyDescent="0.35">
      <c r="A62" s="5"/>
      <c r="B62" s="6" t="s">
        <v>13</v>
      </c>
      <c r="C62" s="15">
        <f>IFERROR(C51/C56,0)</f>
        <v>0</v>
      </c>
      <c r="D62" s="15">
        <f>IFERROR(D51/D56,0)</f>
        <v>0</v>
      </c>
      <c r="E62" s="15">
        <f>IFERROR(E51/E56,0)</f>
        <v>0</v>
      </c>
      <c r="F62" s="69">
        <f>IFERROR(E62-C62,0)</f>
        <v>0</v>
      </c>
      <c r="G62" s="15">
        <f>IFERROR(G51/G56,0)</f>
        <v>116.37932388924662</v>
      </c>
      <c r="H62" s="69">
        <f>IFERROR(E62-G62,0)</f>
        <v>-116.37932388924662</v>
      </c>
      <c r="I62" s="21">
        <f>IFERROR(E62/C62-1,0)</f>
        <v>0</v>
      </c>
      <c r="J62" s="22">
        <f>IFERROR(E62/G62-1,0)</f>
        <v>-1</v>
      </c>
      <c r="K62" s="55">
        <f>IFERROR(K51/K56,0)</f>
        <v>0</v>
      </c>
      <c r="L62" s="69">
        <f>IFERROR(E62-K62,0)</f>
        <v>0</v>
      </c>
      <c r="M62" s="73"/>
      <c r="N62" s="74"/>
    </row>
    <row r="63" spans="1:14" s="38" customFormat="1" ht="15" customHeight="1" thickBot="1" x14ac:dyDescent="0.35">
      <c r="A63" s="9"/>
      <c r="B63" s="10" t="s">
        <v>14</v>
      </c>
      <c r="C63" s="16">
        <f>IFERROR(C51/C55,0)</f>
        <v>0</v>
      </c>
      <c r="D63" s="16">
        <f>IFERROR(D51/D55,0)</f>
        <v>3.8152987613992106E-2</v>
      </c>
      <c r="E63" s="16">
        <f>IFERROR(E51/E55,0)</f>
        <v>3.8152987613992106E-2</v>
      </c>
      <c r="F63" s="70">
        <f t="shared" ref="F63:F64" si="22">IFERROR(E63-C63,0)</f>
        <v>3.8152987613992106E-2</v>
      </c>
      <c r="G63" s="16">
        <f>IFERROR(G51/G55,0)</f>
        <v>24.600121137879405</v>
      </c>
      <c r="H63" s="70">
        <f t="shared" ref="H63:H64" si="23">IFERROR(E63-G63,0)</f>
        <v>-24.561968150265415</v>
      </c>
      <c r="I63" s="20">
        <f>IFERROR(E63/C63-1,0)</f>
        <v>0</v>
      </c>
      <c r="J63" s="11">
        <f>IFERROR(E63/G63-1,0)</f>
        <v>-0.99844907318138187</v>
      </c>
      <c r="K63" s="56">
        <f>IFERROR(K51/K55,0)</f>
        <v>3.8152987613992106E-2</v>
      </c>
      <c r="L63" s="70">
        <f>IFERROR(E63-K63,0)</f>
        <v>0</v>
      </c>
      <c r="M63" s="73"/>
      <c r="N63" s="74"/>
    </row>
    <row r="64" spans="1:14" ht="15" customHeight="1" thickBot="1" x14ac:dyDescent="0.35">
      <c r="A64" s="17"/>
      <c r="B64" s="18" t="s">
        <v>34</v>
      </c>
      <c r="C64" s="19">
        <f>IFERROR(C50/C56,0)</f>
        <v>0</v>
      </c>
      <c r="D64" s="19">
        <f>IFERROR(D50/D56,0)</f>
        <v>0</v>
      </c>
      <c r="E64" s="19">
        <f>IFERROR(E50/E56,0)</f>
        <v>0</v>
      </c>
      <c r="F64" s="72">
        <f t="shared" si="22"/>
        <v>0</v>
      </c>
      <c r="G64" s="19">
        <f>IFERROR(G50/G56,0)</f>
        <v>197.28596909207982</v>
      </c>
      <c r="H64" s="72">
        <f t="shared" si="23"/>
        <v>-197.28596909207982</v>
      </c>
      <c r="I64" s="25">
        <f>IFERROR(E64/C64-1,0)</f>
        <v>0</v>
      </c>
      <c r="J64" s="26">
        <f>IFERROR(E64/G64-1,0)</f>
        <v>-1</v>
      </c>
      <c r="K64" s="57">
        <f>IFERROR(K50/K56,0)</f>
        <v>0</v>
      </c>
      <c r="L64" s="72">
        <f>IFERROR(E64-K64,0)</f>
        <v>0</v>
      </c>
      <c r="M64" s="73"/>
      <c r="N64" s="74"/>
    </row>
    <row r="65" spans="1:14" s="27" customFormat="1" ht="15" customHeight="1" thickBot="1" x14ac:dyDescent="0.35">
      <c r="A65" s="1"/>
      <c r="B65" s="2" t="s">
        <v>24</v>
      </c>
      <c r="C65" s="3">
        <f>SUM(C66:C68)</f>
        <v>0</v>
      </c>
      <c r="D65" s="3">
        <f>SUM(D66:D68)</f>
        <v>0</v>
      </c>
      <c r="E65" s="4">
        <f>SUM(E66:E68)</f>
        <v>0</v>
      </c>
      <c r="F65" s="71">
        <f>IFERROR(SUM(F66:F68),0)</f>
        <v>0</v>
      </c>
      <c r="G65" s="3">
        <f>SUM(G66:G68)</f>
        <v>4481.43</v>
      </c>
      <c r="H65" s="71">
        <f>IFERROR(E65-G65,0)</f>
        <v>-4481.43</v>
      </c>
      <c r="I65" s="20">
        <f>IFERROR(E65/C65-1,0)</f>
        <v>0</v>
      </c>
      <c r="J65" s="11">
        <f>IFERROR(E65/G65-1,0)</f>
        <v>-1</v>
      </c>
      <c r="K65" s="51">
        <f>SUM(K66:K68)</f>
        <v>0</v>
      </c>
      <c r="L65" s="71">
        <f>IFERROR(SUM(L66:L68),0)</f>
        <v>0</v>
      </c>
      <c r="M65" s="73"/>
      <c r="N65" s="74"/>
    </row>
    <row r="66" spans="1:14" s="27" customFormat="1" ht="15" customHeight="1" thickBot="1" x14ac:dyDescent="0.35">
      <c r="A66" s="5"/>
      <c r="B66" s="6" t="s">
        <v>5</v>
      </c>
      <c r="C66" s="45">
        <v>0</v>
      </c>
      <c r="D66" s="45">
        <v>0</v>
      </c>
      <c r="E66" s="45">
        <v>0</v>
      </c>
      <c r="F66" s="67">
        <f>IFERROR(E66-C66,0)</f>
        <v>0</v>
      </c>
      <c r="G66" s="45">
        <v>6093.67</v>
      </c>
      <c r="H66" s="67">
        <f t="shared" ref="H66:H68" si="24">IFERROR(E66-G66,0)</f>
        <v>-6093.67</v>
      </c>
      <c r="I66" s="21">
        <f t="shared" ref="I66:I68" si="25">IFERROR(E66/C66-1,0)</f>
        <v>0</v>
      </c>
      <c r="J66" s="22">
        <f t="shared" ref="J66:J68" si="26">IFERROR(E66/G66-1,0)</f>
        <v>-1</v>
      </c>
      <c r="K66" s="52">
        <v>0</v>
      </c>
      <c r="L66" s="67">
        <f>IFERROR(E66-K66,0)</f>
        <v>0</v>
      </c>
      <c r="M66" s="73"/>
      <c r="N66" s="74"/>
    </row>
    <row r="67" spans="1:14" s="27" customFormat="1" ht="15" customHeight="1" thickBot="1" x14ac:dyDescent="0.35">
      <c r="A67" s="5"/>
      <c r="B67" s="6" t="s">
        <v>6</v>
      </c>
      <c r="C67" s="45">
        <v>0</v>
      </c>
      <c r="D67" s="45">
        <v>0</v>
      </c>
      <c r="E67" s="45">
        <v>0</v>
      </c>
      <c r="F67" s="67">
        <f t="shared" ref="F67:F68" si="27">IFERROR(E67-C67,0)</f>
        <v>0</v>
      </c>
      <c r="G67" s="45">
        <v>113.45</v>
      </c>
      <c r="H67" s="67">
        <f t="shared" si="24"/>
        <v>-113.45</v>
      </c>
      <c r="I67" s="21">
        <f t="shared" si="25"/>
        <v>0</v>
      </c>
      <c r="J67" s="22">
        <f t="shared" si="26"/>
        <v>-1</v>
      </c>
      <c r="K67" s="52">
        <v>0</v>
      </c>
      <c r="L67" s="67">
        <f>IFERROR(E67-K67,0)</f>
        <v>0</v>
      </c>
      <c r="M67" s="73"/>
      <c r="N67" s="74"/>
    </row>
    <row r="68" spans="1:14" s="27" customFormat="1" ht="15" customHeight="1" thickBot="1" x14ac:dyDescent="0.35">
      <c r="A68" s="5"/>
      <c r="B68" s="6" t="s">
        <v>7</v>
      </c>
      <c r="C68" s="45">
        <v>0</v>
      </c>
      <c r="D68" s="45">
        <v>0</v>
      </c>
      <c r="E68" s="45">
        <v>0</v>
      </c>
      <c r="F68" s="67">
        <f t="shared" si="27"/>
        <v>0</v>
      </c>
      <c r="G68" s="45">
        <v>-1725.69</v>
      </c>
      <c r="H68" s="67">
        <f t="shared" si="24"/>
        <v>1725.69</v>
      </c>
      <c r="I68" s="21">
        <f t="shared" si="25"/>
        <v>0</v>
      </c>
      <c r="J68" s="22">
        <f t="shared" si="26"/>
        <v>-1</v>
      </c>
      <c r="K68" s="52">
        <v>0</v>
      </c>
      <c r="L68" s="67">
        <f>IFERROR(E68-K68,0)</f>
        <v>0</v>
      </c>
      <c r="M68" s="73"/>
      <c r="N68" s="74"/>
    </row>
    <row r="69" spans="1:14" s="27" customFormat="1" ht="5.0999999999999996" customHeight="1" thickBot="1" x14ac:dyDescent="0.35">
      <c r="A69" s="5"/>
      <c r="B69" s="6"/>
      <c r="C69" s="7"/>
      <c r="D69" s="7"/>
      <c r="E69" s="8"/>
      <c r="F69" s="67"/>
      <c r="G69" s="7"/>
      <c r="H69" s="67"/>
      <c r="I69" s="21"/>
      <c r="J69" s="21"/>
      <c r="K69" s="53"/>
      <c r="L69" s="67"/>
      <c r="M69" s="73"/>
      <c r="N69" s="74"/>
    </row>
    <row r="70" spans="1:14" s="27" customFormat="1" ht="15" customHeight="1" thickBot="1" x14ac:dyDescent="0.35">
      <c r="A70" s="5"/>
      <c r="B70" s="6" t="s">
        <v>8</v>
      </c>
      <c r="C70" s="45">
        <v>7110</v>
      </c>
      <c r="D70" s="45">
        <v>7110</v>
      </c>
      <c r="E70" s="46">
        <v>7110</v>
      </c>
      <c r="F70" s="67">
        <f>IFERROR(E70-C70,0)</f>
        <v>0</v>
      </c>
      <c r="G70" s="45">
        <v>7110</v>
      </c>
      <c r="H70" s="67">
        <f>IFERROR(E70-G70,0)</f>
        <v>0</v>
      </c>
      <c r="I70" s="23"/>
      <c r="J70" s="24"/>
      <c r="K70" s="52">
        <v>7110</v>
      </c>
      <c r="L70" s="67">
        <f>IFERROR(E70-K70,0)</f>
        <v>0</v>
      </c>
      <c r="M70" s="73"/>
      <c r="N70" s="74"/>
    </row>
    <row r="71" spans="1:14" s="27" customFormat="1" ht="15" customHeight="1" thickBot="1" x14ac:dyDescent="0.35">
      <c r="A71" s="5"/>
      <c r="B71" s="6" t="s">
        <v>9</v>
      </c>
      <c r="C71" s="45">
        <v>0</v>
      </c>
      <c r="D71" s="45">
        <v>0</v>
      </c>
      <c r="E71" s="46">
        <v>0</v>
      </c>
      <c r="F71" s="67">
        <f>IFERROR(E71-C71,0)</f>
        <v>0</v>
      </c>
      <c r="G71" s="45">
        <v>0</v>
      </c>
      <c r="H71" s="67">
        <f>IFERROR(E71-G71,0)</f>
        <v>0</v>
      </c>
      <c r="I71" s="23"/>
      <c r="J71" s="24"/>
      <c r="K71" s="52">
        <v>0</v>
      </c>
      <c r="L71" s="67">
        <f>IFERROR(E71-K71,0)</f>
        <v>0</v>
      </c>
      <c r="M71" s="73"/>
      <c r="N71" s="74"/>
    </row>
    <row r="72" spans="1:14" s="38" customFormat="1" ht="15" customHeight="1" thickBot="1" x14ac:dyDescent="0.35">
      <c r="A72" s="9"/>
      <c r="B72" s="10" t="s">
        <v>10</v>
      </c>
      <c r="C72" s="11">
        <f>IFERROR(C71/C70,0)</f>
        <v>0</v>
      </c>
      <c r="D72" s="11">
        <f>IFERROR(D71/D70,0)</f>
        <v>0</v>
      </c>
      <c r="E72" s="11">
        <f>IFERROR(E71/E70,0)</f>
        <v>0</v>
      </c>
      <c r="F72" s="68">
        <f>IFERROR(E72-C72,0)</f>
        <v>0</v>
      </c>
      <c r="G72" s="11">
        <f>IFERROR(G71/G70,0)</f>
        <v>0</v>
      </c>
      <c r="H72" s="68">
        <f>IFERROR(E72-G72,0)</f>
        <v>0</v>
      </c>
      <c r="I72" s="20">
        <f>IFERROR(E72/C72-1,0)</f>
        <v>0</v>
      </c>
      <c r="J72" s="11">
        <f>IFERROR(E72/G72-1,0)</f>
        <v>0</v>
      </c>
      <c r="K72" s="12">
        <f>IFERROR(K71/K70,0)</f>
        <v>0</v>
      </c>
      <c r="L72" s="68">
        <f>IFERROR(E72-K72,0)</f>
        <v>0</v>
      </c>
      <c r="M72" s="73"/>
      <c r="N72" s="74"/>
    </row>
    <row r="73" spans="1:14" s="27" customFormat="1" ht="5.0999999999999996" customHeight="1" thickBot="1" x14ac:dyDescent="0.35">
      <c r="A73" s="5"/>
      <c r="B73" s="6"/>
      <c r="C73" s="7"/>
      <c r="D73" s="13"/>
      <c r="E73" s="14"/>
      <c r="F73" s="67"/>
      <c r="G73" s="13"/>
      <c r="H73" s="67"/>
      <c r="I73" s="21"/>
      <c r="J73" s="22"/>
      <c r="K73" s="54"/>
      <c r="L73" s="67"/>
      <c r="M73" s="73"/>
      <c r="N73" s="74"/>
    </row>
    <row r="74" spans="1:14" s="27" customFormat="1" ht="15" customHeight="1" thickBot="1" x14ac:dyDescent="0.35">
      <c r="A74" s="5"/>
      <c r="B74" s="6" t="s">
        <v>11</v>
      </c>
      <c r="C74" s="45">
        <v>0</v>
      </c>
      <c r="D74" s="45">
        <v>0</v>
      </c>
      <c r="E74" s="46">
        <v>0</v>
      </c>
      <c r="F74" s="67">
        <f>IFERROR(E74-C74,0)</f>
        <v>0</v>
      </c>
      <c r="G74" s="45">
        <v>0</v>
      </c>
      <c r="H74" s="67">
        <f>IFERROR(E74-G74,0)</f>
        <v>0</v>
      </c>
      <c r="I74" s="21"/>
      <c r="J74" s="22"/>
      <c r="K74" s="52">
        <v>0</v>
      </c>
      <c r="L74" s="67">
        <f>IFERROR(E74-K74,0)</f>
        <v>0</v>
      </c>
      <c r="M74" s="73"/>
      <c r="N74" s="74"/>
    </row>
    <row r="75" spans="1:14" s="27" customFormat="1" ht="15" customHeight="1" thickBot="1" x14ac:dyDescent="0.35">
      <c r="A75" s="5"/>
      <c r="B75" s="6" t="s">
        <v>12</v>
      </c>
      <c r="C75" s="15">
        <f>IFERROR(C74/C71,0)</f>
        <v>0</v>
      </c>
      <c r="D75" s="15">
        <f>IFERROR(D74/D71,0)</f>
        <v>0</v>
      </c>
      <c r="E75" s="15">
        <f>IFERROR(E74/E71,0)</f>
        <v>0</v>
      </c>
      <c r="F75" s="69">
        <f>IFERROR(E75-C75,0)</f>
        <v>0</v>
      </c>
      <c r="G75" s="15">
        <f>IFERROR(G74/G71,0)</f>
        <v>0</v>
      </c>
      <c r="H75" s="69">
        <f>IFERROR(E75-G75,0)</f>
        <v>0</v>
      </c>
      <c r="I75" s="21"/>
      <c r="J75" s="22"/>
      <c r="K75" s="55">
        <f>IFERROR(K74/K71,0)</f>
        <v>0</v>
      </c>
      <c r="L75" s="69">
        <f>IFERROR(E75-K75,0)</f>
        <v>0</v>
      </c>
      <c r="M75" s="73"/>
      <c r="N75" s="74"/>
    </row>
    <row r="76" spans="1:14" s="27" customFormat="1" ht="5.0999999999999996" customHeight="1" thickBot="1" x14ac:dyDescent="0.35">
      <c r="A76" s="5"/>
      <c r="B76" s="6"/>
      <c r="C76" s="7"/>
      <c r="D76" s="13"/>
      <c r="E76" s="14"/>
      <c r="F76" s="69"/>
      <c r="G76" s="13"/>
      <c r="H76" s="69"/>
      <c r="I76" s="21"/>
      <c r="J76" s="22"/>
      <c r="K76" s="54"/>
      <c r="L76" s="69"/>
      <c r="M76" s="73"/>
      <c r="N76" s="74"/>
    </row>
    <row r="77" spans="1:14" s="27" customFormat="1" ht="15" customHeight="1" thickBot="1" x14ac:dyDescent="0.35">
      <c r="A77" s="5"/>
      <c r="B77" s="6" t="s">
        <v>13</v>
      </c>
      <c r="C77" s="15">
        <f>IFERROR(C66/C71,0)</f>
        <v>0</v>
      </c>
      <c r="D77" s="15">
        <f>IFERROR(D66/D71,0)</f>
        <v>0</v>
      </c>
      <c r="E77" s="15">
        <f>IFERROR(E66/E71,0)</f>
        <v>0</v>
      </c>
      <c r="F77" s="69">
        <f>IFERROR(E77-C77,0)</f>
        <v>0</v>
      </c>
      <c r="G77" s="15">
        <f>IFERROR(G66/G71,0)</f>
        <v>0</v>
      </c>
      <c r="H77" s="69">
        <f>IFERROR(E77-G77,0)</f>
        <v>0</v>
      </c>
      <c r="I77" s="21">
        <f>IFERROR(E77/C77-1,0)</f>
        <v>0</v>
      </c>
      <c r="J77" s="22">
        <f>IFERROR(E77/G77-1,0)</f>
        <v>0</v>
      </c>
      <c r="K77" s="55">
        <f>IFERROR(K66/K71,0)</f>
        <v>0</v>
      </c>
      <c r="L77" s="69">
        <f>IFERROR(E77-K77,0)</f>
        <v>0</v>
      </c>
      <c r="M77" s="73"/>
      <c r="N77" s="74"/>
    </row>
    <row r="78" spans="1:14" s="38" customFormat="1" ht="15" customHeight="1" thickBot="1" x14ac:dyDescent="0.35">
      <c r="A78" s="9"/>
      <c r="B78" s="10" t="s">
        <v>14</v>
      </c>
      <c r="C78" s="16">
        <f>IFERROR(C66/C70,0)</f>
        <v>0</v>
      </c>
      <c r="D78" s="16">
        <f>IFERROR(D66/D70,0)</f>
        <v>0</v>
      </c>
      <c r="E78" s="16">
        <f>IFERROR(E66/E70,0)</f>
        <v>0</v>
      </c>
      <c r="F78" s="70">
        <f t="shared" ref="F78:F79" si="28">IFERROR(E78-C78,0)</f>
        <v>0</v>
      </c>
      <c r="G78" s="16">
        <f>IFERROR(G66/G70,0)</f>
        <v>0.85705625879043601</v>
      </c>
      <c r="H78" s="70">
        <f t="shared" ref="H78:H79" si="29">IFERROR(E78-G78,0)</f>
        <v>-0.85705625879043601</v>
      </c>
      <c r="I78" s="20">
        <f>IFERROR(E78/C78-1,0)</f>
        <v>0</v>
      </c>
      <c r="J78" s="11">
        <f>IFERROR(E78/G78-1,0)</f>
        <v>-1</v>
      </c>
      <c r="K78" s="56">
        <f>IFERROR(K66/K70,0)</f>
        <v>0</v>
      </c>
      <c r="L78" s="70">
        <f>IFERROR(E78-K78,0)</f>
        <v>0</v>
      </c>
      <c r="M78" s="73"/>
      <c r="N78" s="74"/>
    </row>
    <row r="79" spans="1:14" ht="15" customHeight="1" thickBot="1" x14ac:dyDescent="0.35">
      <c r="A79" s="17"/>
      <c r="B79" s="18" t="s">
        <v>34</v>
      </c>
      <c r="C79" s="19">
        <f>IFERROR(C65/C71,0)</f>
        <v>0</v>
      </c>
      <c r="D79" s="19">
        <f>IFERROR(D65/D71,0)</f>
        <v>0</v>
      </c>
      <c r="E79" s="19">
        <f>IFERROR(E65/E71,0)</f>
        <v>0</v>
      </c>
      <c r="F79" s="72">
        <f t="shared" si="28"/>
        <v>0</v>
      </c>
      <c r="G79" s="19">
        <f>IFERROR(G65/G71,0)</f>
        <v>0</v>
      </c>
      <c r="H79" s="72">
        <f t="shared" si="29"/>
        <v>0</v>
      </c>
      <c r="I79" s="25">
        <f>IFERROR(E79/C79-1,0)</f>
        <v>0</v>
      </c>
      <c r="J79" s="26">
        <f>IFERROR(E79/G79-1,0)</f>
        <v>0</v>
      </c>
      <c r="K79" s="57">
        <f>IFERROR(K65/K71,0)</f>
        <v>0</v>
      </c>
      <c r="L79" s="72">
        <f>IFERROR(E79-K79,0)</f>
        <v>0</v>
      </c>
      <c r="M79" s="73"/>
      <c r="N79" s="74"/>
    </row>
    <row r="80" spans="1:14" s="27" customFormat="1" ht="15" customHeight="1" thickBot="1" x14ac:dyDescent="0.35">
      <c r="A80" s="1"/>
      <c r="B80" s="2" t="s">
        <v>25</v>
      </c>
      <c r="C80" s="3">
        <f>SUM(C81:C83)</f>
        <v>0</v>
      </c>
      <c r="D80" s="3">
        <f>SUM(D81:D83)</f>
        <v>0</v>
      </c>
      <c r="E80" s="4">
        <f>SUM(E81:E83)</f>
        <v>0</v>
      </c>
      <c r="F80" s="71">
        <f>IFERROR(SUM(F81:F83),0)</f>
        <v>0</v>
      </c>
      <c r="G80" s="3">
        <f>SUM(G81:G83)</f>
        <v>51041.22</v>
      </c>
      <c r="H80" s="71">
        <f>IFERROR(E80-G80,0)</f>
        <v>-51041.22</v>
      </c>
      <c r="I80" s="20">
        <f>IFERROR(E80/C80-1,0)</f>
        <v>0</v>
      </c>
      <c r="J80" s="11">
        <f>IFERROR(E80/G80-1,0)</f>
        <v>-1</v>
      </c>
      <c r="K80" s="51">
        <f>SUM(K81:K83)</f>
        <v>0</v>
      </c>
      <c r="L80" s="71">
        <f>IFERROR(SUM(L81:L83),0)</f>
        <v>0</v>
      </c>
      <c r="M80" s="73"/>
      <c r="N80" s="74"/>
    </row>
    <row r="81" spans="1:14" s="27" customFormat="1" ht="15" customHeight="1" thickBot="1" x14ac:dyDescent="0.35">
      <c r="A81" s="5"/>
      <c r="B81" s="6" t="s">
        <v>5</v>
      </c>
      <c r="C81" s="45">
        <v>0</v>
      </c>
      <c r="D81" s="45">
        <v>0</v>
      </c>
      <c r="E81" s="45">
        <v>0</v>
      </c>
      <c r="F81" s="67">
        <f>IFERROR(E81-C81,0)</f>
        <v>0</v>
      </c>
      <c r="G81" s="45">
        <v>35464.47</v>
      </c>
      <c r="H81" s="67">
        <f t="shared" ref="H81:H83" si="30">IFERROR(E81-G81,0)</f>
        <v>-35464.47</v>
      </c>
      <c r="I81" s="21">
        <f t="shared" ref="I81:I83" si="31">IFERROR(E81/C81-1,0)</f>
        <v>0</v>
      </c>
      <c r="J81" s="22">
        <f t="shared" ref="J81:J83" si="32">IFERROR(E81/G81-1,0)</f>
        <v>-1</v>
      </c>
      <c r="K81" s="52">
        <v>0</v>
      </c>
      <c r="L81" s="67">
        <f>IFERROR(E81-K81,0)</f>
        <v>0</v>
      </c>
      <c r="M81" s="73"/>
      <c r="N81" s="74"/>
    </row>
    <row r="82" spans="1:14" s="27" customFormat="1" ht="15" customHeight="1" thickBot="1" x14ac:dyDescent="0.35">
      <c r="A82" s="5"/>
      <c r="B82" s="6" t="s">
        <v>6</v>
      </c>
      <c r="C82" s="45">
        <v>0</v>
      </c>
      <c r="D82" s="45">
        <v>0</v>
      </c>
      <c r="E82" s="45">
        <v>0</v>
      </c>
      <c r="F82" s="67">
        <f t="shared" ref="F82:F83" si="33">IFERROR(E82-C82,0)</f>
        <v>0</v>
      </c>
      <c r="G82" s="45">
        <v>5212.3500000000004</v>
      </c>
      <c r="H82" s="67">
        <f t="shared" si="30"/>
        <v>-5212.3500000000004</v>
      </c>
      <c r="I82" s="21">
        <f t="shared" si="31"/>
        <v>0</v>
      </c>
      <c r="J82" s="22">
        <f t="shared" si="32"/>
        <v>-1</v>
      </c>
      <c r="K82" s="52">
        <v>0</v>
      </c>
      <c r="L82" s="67">
        <f>IFERROR(E82-K82,0)</f>
        <v>0</v>
      </c>
      <c r="M82" s="73"/>
      <c r="N82" s="74"/>
    </row>
    <row r="83" spans="1:14" s="27" customFormat="1" ht="15" customHeight="1" thickBot="1" x14ac:dyDescent="0.35">
      <c r="A83" s="5"/>
      <c r="B83" s="6" t="s">
        <v>7</v>
      </c>
      <c r="C83" s="45">
        <v>0</v>
      </c>
      <c r="D83" s="45">
        <v>0</v>
      </c>
      <c r="E83" s="45">
        <v>0</v>
      </c>
      <c r="F83" s="67">
        <f t="shared" si="33"/>
        <v>0</v>
      </c>
      <c r="G83" s="45">
        <v>10364.4</v>
      </c>
      <c r="H83" s="67">
        <f t="shared" si="30"/>
        <v>-10364.4</v>
      </c>
      <c r="I83" s="21">
        <f t="shared" si="31"/>
        <v>0</v>
      </c>
      <c r="J83" s="22">
        <f t="shared" si="32"/>
        <v>-1</v>
      </c>
      <c r="K83" s="52">
        <v>0</v>
      </c>
      <c r="L83" s="67">
        <f>IFERROR(E83-K83,0)</f>
        <v>0</v>
      </c>
      <c r="M83" s="73"/>
      <c r="N83" s="74"/>
    </row>
    <row r="84" spans="1:14" s="27" customFormat="1" ht="5.0999999999999996" customHeight="1" thickBot="1" x14ac:dyDescent="0.35">
      <c r="A84" s="5"/>
      <c r="B84" s="6"/>
      <c r="C84" s="7"/>
      <c r="D84" s="7"/>
      <c r="E84" s="8"/>
      <c r="F84" s="67"/>
      <c r="G84" s="7"/>
      <c r="H84" s="67"/>
      <c r="I84" s="21"/>
      <c r="J84" s="21"/>
      <c r="K84" s="53"/>
      <c r="L84" s="67"/>
      <c r="M84" s="73"/>
      <c r="N84" s="74"/>
    </row>
    <row r="85" spans="1:14" s="27" customFormat="1" ht="15" customHeight="1" thickBot="1" x14ac:dyDescent="0.35">
      <c r="A85" s="5"/>
      <c r="B85" s="6" t="s">
        <v>8</v>
      </c>
      <c r="C85" s="45">
        <v>7347</v>
      </c>
      <c r="D85" s="45">
        <v>7347</v>
      </c>
      <c r="E85" s="46">
        <v>7347</v>
      </c>
      <c r="F85" s="67">
        <f>IFERROR(E85-C85,0)</f>
        <v>0</v>
      </c>
      <c r="G85" s="45">
        <v>7347</v>
      </c>
      <c r="H85" s="67">
        <f>IFERROR(E85-G85,0)</f>
        <v>0</v>
      </c>
      <c r="I85" s="23"/>
      <c r="J85" s="24"/>
      <c r="K85" s="52">
        <v>7347</v>
      </c>
      <c r="L85" s="67">
        <f>IFERROR(E85-K85,0)</f>
        <v>0</v>
      </c>
      <c r="M85" s="73"/>
      <c r="N85" s="74"/>
    </row>
    <row r="86" spans="1:14" s="27" customFormat="1" ht="15" customHeight="1" thickBot="1" x14ac:dyDescent="0.35">
      <c r="A86" s="5"/>
      <c r="B86" s="6" t="s">
        <v>9</v>
      </c>
      <c r="C86" s="45">
        <v>0</v>
      </c>
      <c r="D86" s="45">
        <v>0</v>
      </c>
      <c r="E86" s="46">
        <v>0</v>
      </c>
      <c r="F86" s="67">
        <f>IFERROR(E86-C86,0)</f>
        <v>0</v>
      </c>
      <c r="G86" s="45">
        <v>428</v>
      </c>
      <c r="H86" s="67">
        <f>IFERROR(E86-G86,0)</f>
        <v>-428</v>
      </c>
      <c r="I86" s="23"/>
      <c r="J86" s="24"/>
      <c r="K86" s="52">
        <v>0</v>
      </c>
      <c r="L86" s="67">
        <f>IFERROR(E86-K86,0)</f>
        <v>0</v>
      </c>
      <c r="M86" s="73"/>
      <c r="N86" s="74"/>
    </row>
    <row r="87" spans="1:14" s="38" customFormat="1" ht="15" customHeight="1" thickBot="1" x14ac:dyDescent="0.35">
      <c r="A87" s="9"/>
      <c r="B87" s="10" t="s">
        <v>10</v>
      </c>
      <c r="C87" s="11">
        <f>IFERROR(C86/C85,0)</f>
        <v>0</v>
      </c>
      <c r="D87" s="11">
        <f>IFERROR(D86/D85,0)</f>
        <v>0</v>
      </c>
      <c r="E87" s="11">
        <f>IFERROR(E86/E85,0)</f>
        <v>0</v>
      </c>
      <c r="F87" s="68">
        <f>IFERROR(E87-C87,0)</f>
        <v>0</v>
      </c>
      <c r="G87" s="11">
        <f>IFERROR(G86/G85,0)</f>
        <v>5.8255070096638085E-2</v>
      </c>
      <c r="H87" s="68">
        <f>IFERROR(E87-G87,0)</f>
        <v>-5.8255070096638085E-2</v>
      </c>
      <c r="I87" s="20">
        <f>IFERROR(E87/C87-1,0)</f>
        <v>0</v>
      </c>
      <c r="J87" s="11">
        <f>IFERROR(E87/G87-1,0)</f>
        <v>-1</v>
      </c>
      <c r="K87" s="12">
        <f>IFERROR(K86/K85,0)</f>
        <v>0</v>
      </c>
      <c r="L87" s="68">
        <f>IFERROR(E87-K87,0)</f>
        <v>0</v>
      </c>
      <c r="M87" s="73"/>
      <c r="N87" s="74"/>
    </row>
    <row r="88" spans="1:14" s="27" customFormat="1" ht="5.0999999999999996" customHeight="1" thickBot="1" x14ac:dyDescent="0.35">
      <c r="A88" s="5"/>
      <c r="B88" s="6"/>
      <c r="C88" s="7"/>
      <c r="D88" s="13"/>
      <c r="E88" s="14"/>
      <c r="F88" s="67"/>
      <c r="G88" s="13"/>
      <c r="H88" s="67"/>
      <c r="I88" s="21"/>
      <c r="J88" s="22"/>
      <c r="K88" s="54"/>
      <c r="L88" s="67"/>
      <c r="M88" s="73"/>
      <c r="N88" s="74"/>
    </row>
    <row r="89" spans="1:14" s="27" customFormat="1" ht="15" customHeight="1" thickBot="1" x14ac:dyDescent="0.35">
      <c r="A89" s="5"/>
      <c r="B89" s="6" t="s">
        <v>11</v>
      </c>
      <c r="C89" s="45">
        <v>0</v>
      </c>
      <c r="D89" s="45">
        <v>0</v>
      </c>
      <c r="E89" s="46">
        <v>0</v>
      </c>
      <c r="F89" s="67">
        <f>IFERROR(E89-C89,0)</f>
        <v>0</v>
      </c>
      <c r="G89" s="45">
        <v>626</v>
      </c>
      <c r="H89" s="67">
        <f>IFERROR(E89-G89,0)</f>
        <v>-626</v>
      </c>
      <c r="I89" s="21"/>
      <c r="J89" s="22"/>
      <c r="K89" s="52">
        <v>0</v>
      </c>
      <c r="L89" s="67">
        <f>IFERROR(E89-K89,0)</f>
        <v>0</v>
      </c>
      <c r="M89" s="73"/>
      <c r="N89" s="74"/>
    </row>
    <row r="90" spans="1:14" s="27" customFormat="1" ht="15" customHeight="1" thickBot="1" x14ac:dyDescent="0.35">
      <c r="A90" s="5"/>
      <c r="B90" s="6" t="s">
        <v>12</v>
      </c>
      <c r="C90" s="15">
        <f>IFERROR(C89/C86,0)</f>
        <v>0</v>
      </c>
      <c r="D90" s="15">
        <f>IFERROR(D89/D86,0)</f>
        <v>0</v>
      </c>
      <c r="E90" s="15">
        <f>IFERROR(E89/E86,0)</f>
        <v>0</v>
      </c>
      <c r="F90" s="69">
        <f>IFERROR(E90-C90,0)</f>
        <v>0</v>
      </c>
      <c r="G90" s="15">
        <f>IFERROR(G89/G86,0)</f>
        <v>1.4626168224299065</v>
      </c>
      <c r="H90" s="69">
        <f>IFERROR(E90-G90,0)</f>
        <v>-1.4626168224299065</v>
      </c>
      <c r="I90" s="21"/>
      <c r="J90" s="22"/>
      <c r="K90" s="55">
        <f>IFERROR(K89/K86,0)</f>
        <v>0</v>
      </c>
      <c r="L90" s="69">
        <f>IFERROR(E90-K90,0)</f>
        <v>0</v>
      </c>
      <c r="M90" s="73"/>
      <c r="N90" s="74"/>
    </row>
    <row r="91" spans="1:14" s="27" customFormat="1" ht="5.0999999999999996" customHeight="1" thickBot="1" x14ac:dyDescent="0.35">
      <c r="A91" s="5"/>
      <c r="B91" s="6"/>
      <c r="C91" s="7"/>
      <c r="D91" s="13"/>
      <c r="E91" s="14"/>
      <c r="F91" s="69"/>
      <c r="G91" s="13"/>
      <c r="H91" s="69"/>
      <c r="I91" s="21"/>
      <c r="J91" s="22"/>
      <c r="K91" s="54"/>
      <c r="L91" s="69"/>
      <c r="M91" s="73"/>
      <c r="N91" s="74"/>
    </row>
    <row r="92" spans="1:14" s="27" customFormat="1" ht="15" customHeight="1" thickBot="1" x14ac:dyDescent="0.35">
      <c r="A92" s="5"/>
      <c r="B92" s="6" t="s">
        <v>13</v>
      </c>
      <c r="C92" s="15">
        <f>IFERROR(C81/C86,0)</f>
        <v>0</v>
      </c>
      <c r="D92" s="15">
        <f>IFERROR(D81/D86,0)</f>
        <v>0</v>
      </c>
      <c r="E92" s="15">
        <f>IFERROR(E81/E86,0)</f>
        <v>0</v>
      </c>
      <c r="F92" s="69">
        <f>IFERROR(E92-C92,0)</f>
        <v>0</v>
      </c>
      <c r="G92" s="15">
        <f>IFERROR(G81/G86,0)</f>
        <v>82.860911214953276</v>
      </c>
      <c r="H92" s="69">
        <f>IFERROR(E92-G92,0)</f>
        <v>-82.860911214953276</v>
      </c>
      <c r="I92" s="21">
        <f>IFERROR(E92/C92-1,0)</f>
        <v>0</v>
      </c>
      <c r="J92" s="22">
        <f>IFERROR(E92/G92-1,0)</f>
        <v>-1</v>
      </c>
      <c r="K92" s="55">
        <f>IFERROR(K81/K86,0)</f>
        <v>0</v>
      </c>
      <c r="L92" s="69">
        <f>IFERROR(E92-K92,0)</f>
        <v>0</v>
      </c>
      <c r="M92" s="73"/>
      <c r="N92" s="74"/>
    </row>
    <row r="93" spans="1:14" s="38" customFormat="1" ht="15" customHeight="1" thickBot="1" x14ac:dyDescent="0.35">
      <c r="A93" s="9"/>
      <c r="B93" s="10" t="s">
        <v>14</v>
      </c>
      <c r="C93" s="16">
        <f>IFERROR(C81/C85,0)</f>
        <v>0</v>
      </c>
      <c r="D93" s="16">
        <f>IFERROR(D81/D85,0)</f>
        <v>0</v>
      </c>
      <c r="E93" s="16">
        <f>IFERROR(E81/E85,0)</f>
        <v>0</v>
      </c>
      <c r="F93" s="70">
        <f t="shared" ref="F93:F94" si="34">IFERROR(E93-C93,0)</f>
        <v>0</v>
      </c>
      <c r="G93" s="16">
        <f>IFERROR(G81/G85,0)</f>
        <v>4.8270681910984079</v>
      </c>
      <c r="H93" s="70">
        <f t="shared" ref="H93:H94" si="35">IFERROR(E93-G93,0)</f>
        <v>-4.8270681910984079</v>
      </c>
      <c r="I93" s="20">
        <f>IFERROR(E93/C93-1,0)</f>
        <v>0</v>
      </c>
      <c r="J93" s="11">
        <f>IFERROR(E93/G93-1,0)</f>
        <v>-1</v>
      </c>
      <c r="K93" s="56">
        <f>IFERROR(K81/K85,0)</f>
        <v>0</v>
      </c>
      <c r="L93" s="70">
        <f>IFERROR(E93-K93,0)</f>
        <v>0</v>
      </c>
      <c r="M93" s="73"/>
      <c r="N93" s="74"/>
    </row>
    <row r="94" spans="1:14" ht="15" customHeight="1" thickBot="1" x14ac:dyDescent="0.35">
      <c r="A94" s="17"/>
      <c r="B94" s="18" t="s">
        <v>34</v>
      </c>
      <c r="C94" s="19">
        <f>IFERROR(C80/C86,0)</f>
        <v>0</v>
      </c>
      <c r="D94" s="19">
        <f>IFERROR(D80/D86,0)</f>
        <v>0</v>
      </c>
      <c r="E94" s="19">
        <f>IFERROR(E80/E86,0)</f>
        <v>0</v>
      </c>
      <c r="F94" s="72">
        <f t="shared" si="34"/>
        <v>0</v>
      </c>
      <c r="G94" s="19">
        <f>IFERROR(G80/G86,0)</f>
        <v>119.25518691588785</v>
      </c>
      <c r="H94" s="72">
        <f t="shared" si="35"/>
        <v>-119.25518691588785</v>
      </c>
      <c r="I94" s="25">
        <f>IFERROR(E94/C94-1,0)</f>
        <v>0</v>
      </c>
      <c r="J94" s="26">
        <f>IFERROR(E94/G94-1,0)</f>
        <v>-1</v>
      </c>
      <c r="K94" s="57">
        <f>IFERROR(K80/K86,0)</f>
        <v>0</v>
      </c>
      <c r="L94" s="72">
        <f>IFERROR(E94-K94,0)</f>
        <v>0</v>
      </c>
      <c r="M94" s="73"/>
      <c r="N94" s="74"/>
    </row>
    <row r="95" spans="1:14" s="27" customFormat="1" ht="15" customHeight="1" thickBot="1" x14ac:dyDescent="0.35">
      <c r="A95" s="1"/>
      <c r="B95" s="2" t="s">
        <v>26</v>
      </c>
      <c r="C95" s="3">
        <f>SUM(C96:C98)</f>
        <v>0</v>
      </c>
      <c r="D95" s="3">
        <f>SUM(D96:D98)</f>
        <v>191100.66</v>
      </c>
      <c r="E95" s="4">
        <f>SUM(E96:E98)</f>
        <v>191100.66</v>
      </c>
      <c r="F95" s="71">
        <f>IFERROR(SUM(F96:F98),0)</f>
        <v>191100.66</v>
      </c>
      <c r="G95" s="3">
        <f>SUM(G96:G98)</f>
        <v>174102.31</v>
      </c>
      <c r="H95" s="71">
        <f>IFERROR(E95-G95,0)</f>
        <v>16998.350000000006</v>
      </c>
      <c r="I95" s="20">
        <f>IFERROR(E95/C95-1,0)</f>
        <v>0</v>
      </c>
      <c r="J95" s="11">
        <f>IFERROR(E95/G95-1,0)</f>
        <v>9.7634258844698785E-2</v>
      </c>
      <c r="K95" s="51">
        <f>SUM(K96:K98)</f>
        <v>191100.66000000003</v>
      </c>
      <c r="L95" s="71">
        <f>IFERROR(SUM(L96:L98),0)</f>
        <v>-1.0913936421275139E-11</v>
      </c>
      <c r="M95" s="73"/>
      <c r="N95" s="74"/>
    </row>
    <row r="96" spans="1:14" s="27" customFormat="1" ht="15" customHeight="1" thickBot="1" x14ac:dyDescent="0.35">
      <c r="A96" s="5"/>
      <c r="B96" s="6" t="s">
        <v>5</v>
      </c>
      <c r="C96" s="45">
        <v>0</v>
      </c>
      <c r="D96" s="45">
        <v>154330.14000000001</v>
      </c>
      <c r="E96" s="45">
        <v>154330.14000000001</v>
      </c>
      <c r="F96" s="67">
        <f>IFERROR(E96-C96,0)</f>
        <v>154330.14000000001</v>
      </c>
      <c r="G96" s="45">
        <v>133372.24</v>
      </c>
      <c r="H96" s="67">
        <f t="shared" ref="H96:H98" si="36">IFERROR(E96-G96,0)</f>
        <v>20957.900000000023</v>
      </c>
      <c r="I96" s="21">
        <f t="shared" ref="I96:I98" si="37">IFERROR(E96/C96-1,0)</f>
        <v>0</v>
      </c>
      <c r="J96" s="22">
        <f t="shared" ref="J96:J98" si="38">IFERROR(E96/G96-1,0)</f>
        <v>0.15713839701575094</v>
      </c>
      <c r="K96" s="52">
        <v>154330.14000000001</v>
      </c>
      <c r="L96" s="67">
        <f>IFERROR(E96-K96,0)</f>
        <v>0</v>
      </c>
      <c r="M96" s="73"/>
      <c r="N96" s="74"/>
    </row>
    <row r="97" spans="1:14" s="27" customFormat="1" ht="15" customHeight="1" thickBot="1" x14ac:dyDescent="0.35">
      <c r="A97" s="5"/>
      <c r="B97" s="6" t="s">
        <v>6</v>
      </c>
      <c r="C97" s="45">
        <v>0</v>
      </c>
      <c r="D97" s="45">
        <v>19214.94999999999</v>
      </c>
      <c r="E97" s="45">
        <v>19214.94999999999</v>
      </c>
      <c r="F97" s="67">
        <f t="shared" ref="F97:F98" si="39">IFERROR(E97-C97,0)</f>
        <v>19214.94999999999</v>
      </c>
      <c r="G97" s="45">
        <v>19785.16</v>
      </c>
      <c r="H97" s="67">
        <f t="shared" si="36"/>
        <v>-570.21000000001004</v>
      </c>
      <c r="I97" s="21">
        <f t="shared" si="37"/>
        <v>0</v>
      </c>
      <c r="J97" s="22">
        <f t="shared" si="38"/>
        <v>-2.882008535690439E-2</v>
      </c>
      <c r="K97" s="52">
        <v>19214.95</v>
      </c>
      <c r="L97" s="67">
        <f>IFERROR(E97-K97,0)</f>
        <v>-1.0913936421275139E-11</v>
      </c>
      <c r="M97" s="73"/>
      <c r="N97" s="74"/>
    </row>
    <row r="98" spans="1:14" s="27" customFormat="1" ht="15" customHeight="1" thickBot="1" x14ac:dyDescent="0.35">
      <c r="A98" s="5"/>
      <c r="B98" s="6" t="s">
        <v>7</v>
      </c>
      <c r="C98" s="45">
        <v>0</v>
      </c>
      <c r="D98" s="45">
        <v>17555.57</v>
      </c>
      <c r="E98" s="45">
        <v>17555.57</v>
      </c>
      <c r="F98" s="67">
        <f t="shared" si="39"/>
        <v>17555.57</v>
      </c>
      <c r="G98" s="45">
        <v>20944.91</v>
      </c>
      <c r="H98" s="67">
        <f t="shared" si="36"/>
        <v>-3389.34</v>
      </c>
      <c r="I98" s="21">
        <f t="shared" si="37"/>
        <v>0</v>
      </c>
      <c r="J98" s="22">
        <f t="shared" si="38"/>
        <v>-0.16182165499875623</v>
      </c>
      <c r="K98" s="52">
        <v>17555.57</v>
      </c>
      <c r="L98" s="67">
        <f>IFERROR(E98-K98,0)</f>
        <v>0</v>
      </c>
      <c r="M98" s="73"/>
      <c r="N98" s="74"/>
    </row>
    <row r="99" spans="1:14" s="27" customFormat="1" ht="5.0999999999999996" customHeight="1" thickBot="1" x14ac:dyDescent="0.35">
      <c r="A99" s="5"/>
      <c r="B99" s="6"/>
      <c r="C99" s="7"/>
      <c r="D99" s="7"/>
      <c r="E99" s="8"/>
      <c r="F99" s="67"/>
      <c r="G99" s="7"/>
      <c r="H99" s="67"/>
      <c r="I99" s="21"/>
      <c r="J99" s="21"/>
      <c r="K99" s="53"/>
      <c r="L99" s="67"/>
      <c r="M99" s="73"/>
      <c r="N99" s="74"/>
    </row>
    <row r="100" spans="1:14" s="27" customFormat="1" ht="15" customHeight="1" thickBot="1" x14ac:dyDescent="0.35">
      <c r="A100" s="5"/>
      <c r="B100" s="6" t="s">
        <v>8</v>
      </c>
      <c r="C100" s="45">
        <v>7110</v>
      </c>
      <c r="D100" s="45">
        <v>7110</v>
      </c>
      <c r="E100" s="46">
        <v>7110</v>
      </c>
      <c r="F100" s="67">
        <f>IFERROR(E100-C100,0)</f>
        <v>0</v>
      </c>
      <c r="G100" s="45">
        <v>7110</v>
      </c>
      <c r="H100" s="67">
        <f>IFERROR(E100-G100,0)</f>
        <v>0</v>
      </c>
      <c r="I100" s="23"/>
      <c r="J100" s="24"/>
      <c r="K100" s="52">
        <v>7110</v>
      </c>
      <c r="L100" s="67">
        <f>IFERROR(E100-K100,0)</f>
        <v>0</v>
      </c>
      <c r="M100" s="73"/>
      <c r="N100" s="74"/>
    </row>
    <row r="101" spans="1:14" s="27" customFormat="1" ht="15" customHeight="1" thickBot="1" x14ac:dyDescent="0.35">
      <c r="A101" s="5"/>
      <c r="B101" s="6" t="s">
        <v>9</v>
      </c>
      <c r="C101" s="45">
        <v>0</v>
      </c>
      <c r="D101" s="45">
        <v>1960</v>
      </c>
      <c r="E101" s="46">
        <v>1960</v>
      </c>
      <c r="F101" s="67">
        <f>IFERROR(E101-C101,0)</f>
        <v>1960</v>
      </c>
      <c r="G101" s="45">
        <v>1486</v>
      </c>
      <c r="H101" s="67">
        <f>IFERROR(E101-G101,0)</f>
        <v>474</v>
      </c>
      <c r="I101" s="23"/>
      <c r="J101" s="24"/>
      <c r="K101" s="52">
        <v>1960</v>
      </c>
      <c r="L101" s="67">
        <f>IFERROR(E101-K101,0)</f>
        <v>0</v>
      </c>
      <c r="M101" s="73"/>
      <c r="N101" s="74"/>
    </row>
    <row r="102" spans="1:14" s="38" customFormat="1" ht="15" customHeight="1" thickBot="1" x14ac:dyDescent="0.35">
      <c r="A102" s="9"/>
      <c r="B102" s="10" t="s">
        <v>10</v>
      </c>
      <c r="C102" s="11">
        <f>IFERROR(C101/C100,0)</f>
        <v>0</v>
      </c>
      <c r="D102" s="11">
        <f>IFERROR(D101/D100,0)</f>
        <v>0.27566807313642755</v>
      </c>
      <c r="E102" s="11">
        <f>IFERROR(E101/E100,0)</f>
        <v>0.27566807313642755</v>
      </c>
      <c r="F102" s="68">
        <f>IFERROR(E102-C102,0)</f>
        <v>0.27566807313642755</v>
      </c>
      <c r="G102" s="11">
        <f>IFERROR(G101/G100,0)</f>
        <v>0.2090014064697609</v>
      </c>
      <c r="H102" s="68">
        <f>IFERROR(E102-G102,0)</f>
        <v>6.6666666666666652E-2</v>
      </c>
      <c r="I102" s="20">
        <f>IFERROR(E102/C102-1,0)</f>
        <v>0</v>
      </c>
      <c r="J102" s="11">
        <f>IFERROR(E102/G102-1,0)</f>
        <v>0.3189771197846567</v>
      </c>
      <c r="K102" s="12">
        <f>IFERROR(K101/K100,0)</f>
        <v>0.27566807313642755</v>
      </c>
      <c r="L102" s="68">
        <f>IFERROR(E102-K102,0)</f>
        <v>0</v>
      </c>
      <c r="M102" s="73"/>
      <c r="N102" s="74"/>
    </row>
    <row r="103" spans="1:14" s="27" customFormat="1" ht="5.0999999999999996" customHeight="1" thickBot="1" x14ac:dyDescent="0.35">
      <c r="A103" s="5"/>
      <c r="B103" s="6"/>
      <c r="C103" s="7"/>
      <c r="D103" s="13"/>
      <c r="E103" s="14"/>
      <c r="F103" s="67"/>
      <c r="G103" s="13"/>
      <c r="H103" s="67"/>
      <c r="I103" s="21"/>
      <c r="J103" s="22"/>
      <c r="K103" s="54"/>
      <c r="L103" s="67"/>
      <c r="M103" s="73"/>
      <c r="N103" s="74"/>
    </row>
    <row r="104" spans="1:14" s="27" customFormat="1" ht="15" customHeight="1" thickBot="1" x14ac:dyDescent="0.35">
      <c r="A104" s="5"/>
      <c r="B104" s="6" t="s">
        <v>11</v>
      </c>
      <c r="C104" s="45">
        <v>0</v>
      </c>
      <c r="D104" s="45">
        <v>3093</v>
      </c>
      <c r="E104" s="46">
        <v>3093</v>
      </c>
      <c r="F104" s="67">
        <f>IFERROR(E104-C104,0)</f>
        <v>3093</v>
      </c>
      <c r="G104" s="45">
        <v>2394</v>
      </c>
      <c r="H104" s="67">
        <f>IFERROR(E104-G104,0)</f>
        <v>699</v>
      </c>
      <c r="I104" s="21"/>
      <c r="J104" s="22"/>
      <c r="K104" s="52">
        <v>3093</v>
      </c>
      <c r="L104" s="67">
        <f>IFERROR(E104-K104,0)</f>
        <v>0</v>
      </c>
      <c r="M104" s="73"/>
      <c r="N104" s="74"/>
    </row>
    <row r="105" spans="1:14" s="27" customFormat="1" ht="15" customHeight="1" thickBot="1" x14ac:dyDescent="0.35">
      <c r="A105" s="5"/>
      <c r="B105" s="6" t="s">
        <v>12</v>
      </c>
      <c r="C105" s="15">
        <f>IFERROR(C104/C101,0)</f>
        <v>0</v>
      </c>
      <c r="D105" s="15">
        <f>IFERROR(D104/D101,0)</f>
        <v>1.578061224489796</v>
      </c>
      <c r="E105" s="15">
        <f>IFERROR(E104/E101,0)</f>
        <v>1.578061224489796</v>
      </c>
      <c r="F105" s="69">
        <f>IFERROR(E105-C105,0)</f>
        <v>1.578061224489796</v>
      </c>
      <c r="G105" s="15">
        <f>IFERROR(G104/G101,0)</f>
        <v>1.6110363391655451</v>
      </c>
      <c r="H105" s="69">
        <f>IFERROR(E105-G105,0)</f>
        <v>-3.2975114675749095E-2</v>
      </c>
      <c r="I105" s="21"/>
      <c r="J105" s="22"/>
      <c r="K105" s="55">
        <f>IFERROR(K104/K101,0)</f>
        <v>1.578061224489796</v>
      </c>
      <c r="L105" s="69">
        <f>IFERROR(E105-K105,0)</f>
        <v>0</v>
      </c>
      <c r="M105" s="73"/>
      <c r="N105" s="74"/>
    </row>
    <row r="106" spans="1:14" s="27" customFormat="1" ht="5.0999999999999996" customHeight="1" thickBot="1" x14ac:dyDescent="0.35">
      <c r="A106" s="5"/>
      <c r="B106" s="6"/>
      <c r="C106" s="7"/>
      <c r="D106" s="13"/>
      <c r="E106" s="14"/>
      <c r="F106" s="69"/>
      <c r="G106" s="13"/>
      <c r="H106" s="69"/>
      <c r="I106" s="21"/>
      <c r="J106" s="22"/>
      <c r="K106" s="54"/>
      <c r="L106" s="69"/>
      <c r="M106" s="73"/>
      <c r="N106" s="74"/>
    </row>
    <row r="107" spans="1:14" s="27" customFormat="1" ht="15" customHeight="1" thickBot="1" x14ac:dyDescent="0.35">
      <c r="A107" s="5"/>
      <c r="B107" s="6" t="s">
        <v>13</v>
      </c>
      <c r="C107" s="15">
        <f>IFERROR(C96/C101,0)</f>
        <v>0</v>
      </c>
      <c r="D107" s="15">
        <f>IFERROR(D96/D101,0)</f>
        <v>78.73986734693878</v>
      </c>
      <c r="E107" s="15">
        <f>IFERROR(E96/E101,0)</f>
        <v>78.73986734693878</v>
      </c>
      <c r="F107" s="69">
        <f>IFERROR(E107-C107,0)</f>
        <v>78.73986734693878</v>
      </c>
      <c r="G107" s="15">
        <f>IFERROR(G96/G101,0)</f>
        <v>89.752516823687742</v>
      </c>
      <c r="H107" s="69">
        <f>IFERROR(E107-G107,0)</f>
        <v>-11.012649476748962</v>
      </c>
      <c r="I107" s="21">
        <f>IFERROR(E107/C107-1,0)</f>
        <v>0</v>
      </c>
      <c r="J107" s="22">
        <f>IFERROR(E107/G107-1,0)</f>
        <v>-0.12270017450744597</v>
      </c>
      <c r="K107" s="55">
        <f>IFERROR(K96/K101,0)</f>
        <v>78.73986734693878</v>
      </c>
      <c r="L107" s="69">
        <f>IFERROR(E107-K107,0)</f>
        <v>0</v>
      </c>
      <c r="M107" s="73"/>
      <c r="N107" s="74"/>
    </row>
    <row r="108" spans="1:14" s="38" customFormat="1" ht="15" customHeight="1" thickBot="1" x14ac:dyDescent="0.35">
      <c r="A108" s="9"/>
      <c r="B108" s="10" t="s">
        <v>14</v>
      </c>
      <c r="C108" s="16">
        <f>IFERROR(C96/C100,0)</f>
        <v>0</v>
      </c>
      <c r="D108" s="16">
        <f>IFERROR(D96/D100,0)</f>
        <v>21.706067510548525</v>
      </c>
      <c r="E108" s="16">
        <f>IFERROR(E96/E100,0)</f>
        <v>21.706067510548525</v>
      </c>
      <c r="F108" s="70">
        <f t="shared" ref="F108:F109" si="40">IFERROR(E108-C108,0)</f>
        <v>21.706067510548525</v>
      </c>
      <c r="G108" s="16">
        <f>IFERROR(G96/G100,0)</f>
        <v>18.758402250351615</v>
      </c>
      <c r="H108" s="70">
        <f t="shared" ref="H108:H109" si="41">IFERROR(E108-G108,0)</f>
        <v>2.94766526019691</v>
      </c>
      <c r="I108" s="20">
        <f>IFERROR(E108/C108-1,0)</f>
        <v>0</v>
      </c>
      <c r="J108" s="11">
        <f>IFERROR(E108/G108-1,0)</f>
        <v>0.15713839701575094</v>
      </c>
      <c r="K108" s="56">
        <f>IFERROR(K96/K100,0)</f>
        <v>21.706067510548525</v>
      </c>
      <c r="L108" s="70">
        <f>IFERROR(E108-K108,0)</f>
        <v>0</v>
      </c>
      <c r="M108" s="73"/>
      <c r="N108" s="74"/>
    </row>
    <row r="109" spans="1:14" ht="15" customHeight="1" thickBot="1" x14ac:dyDescent="0.35">
      <c r="A109" s="17"/>
      <c r="B109" s="18" t="s">
        <v>34</v>
      </c>
      <c r="C109" s="19">
        <f>IFERROR(C95/C101,0)</f>
        <v>0</v>
      </c>
      <c r="D109" s="19">
        <f>IFERROR(D95/D101,0)</f>
        <v>97.500336734693875</v>
      </c>
      <c r="E109" s="19">
        <f>IFERROR(E95/E101,0)</f>
        <v>97.500336734693875</v>
      </c>
      <c r="F109" s="72">
        <f t="shared" si="40"/>
        <v>97.500336734693875</v>
      </c>
      <c r="G109" s="19">
        <f>IFERROR(G95/G101,0)</f>
        <v>117.16171601615073</v>
      </c>
      <c r="H109" s="72">
        <f t="shared" si="41"/>
        <v>-19.66137928145686</v>
      </c>
      <c r="I109" s="25">
        <f>IFERROR(E109/C109-1,0)</f>
        <v>0</v>
      </c>
      <c r="J109" s="26">
        <f>IFERROR(E109/G109-1,0)</f>
        <v>-0.16781402620243746</v>
      </c>
      <c r="K109" s="57">
        <f>IFERROR(K95/K101,0)</f>
        <v>97.500336734693889</v>
      </c>
      <c r="L109" s="72">
        <f>IFERROR(E109-K109,0)</f>
        <v>-1.4210854715202004E-14</v>
      </c>
      <c r="M109" s="73"/>
      <c r="N109" s="74"/>
    </row>
    <row r="110" spans="1:14" s="27" customFormat="1" ht="15" customHeight="1" thickBot="1" x14ac:dyDescent="0.35">
      <c r="A110" s="36"/>
      <c r="B110" s="59" t="s">
        <v>15</v>
      </c>
      <c r="C110" s="60">
        <f>SUM(C111:C113)</f>
        <v>549235.42779283191</v>
      </c>
      <c r="D110" s="61">
        <f>SUM(D111:D113)</f>
        <v>510606.9600000002</v>
      </c>
      <c r="E110" s="61">
        <f>SUM(E111:E113)</f>
        <v>510606.9600000002</v>
      </c>
      <c r="F110" s="71">
        <f>IFERROR(SUM(F111:F113),0)</f>
        <v>-38628.46779283174</v>
      </c>
      <c r="G110" s="61">
        <f>SUM(G111:G113)</f>
        <v>275998.08999999997</v>
      </c>
      <c r="H110" s="71">
        <f>IFERROR(E110-G110,0)</f>
        <v>234608.87000000023</v>
      </c>
      <c r="I110" s="62">
        <f>IFERROR(E110/C110-1,0)</f>
        <v>-7.0331347611833461E-2</v>
      </c>
      <c r="J110" s="63">
        <f>IFERROR(E110/G110-1,0)</f>
        <v>0.85003802019064789</v>
      </c>
      <c r="K110" s="64">
        <f>SUM(K111:K113)</f>
        <v>510606.96</v>
      </c>
      <c r="L110" s="71">
        <f>IFERROR(SUM(L111:L113),0)</f>
        <v>1.3824319466948509E-10</v>
      </c>
      <c r="M110" s="73"/>
      <c r="N110" s="74"/>
    </row>
    <row r="111" spans="1:14" s="27" customFormat="1" ht="15" customHeight="1" thickBot="1" x14ac:dyDescent="0.35">
      <c r="A111" s="5"/>
      <c r="B111" s="6" t="s">
        <v>5</v>
      </c>
      <c r="C111" s="45">
        <v>456569.92</v>
      </c>
      <c r="D111" s="45">
        <v>413505.20000000013</v>
      </c>
      <c r="E111" s="45">
        <v>413505.20000000013</v>
      </c>
      <c r="F111" s="67">
        <f>IFERROR(E111-C111,0)</f>
        <v>-43064.719999999856</v>
      </c>
      <c r="G111" s="45">
        <v>214147.12</v>
      </c>
      <c r="H111" s="67">
        <f t="shared" ref="H111:H113" si="42">IFERROR(E111-G111,0)</f>
        <v>199358.08000000013</v>
      </c>
      <c r="I111" s="21">
        <f t="shared" ref="I111:I113" si="43">IFERROR(E111/C111-1,0)</f>
        <v>-9.432228912495999E-2</v>
      </c>
      <c r="J111" s="22">
        <f t="shared" ref="J111:J113" si="44">IFERROR(E111/G111-1,0)</f>
        <v>0.93093981371311529</v>
      </c>
      <c r="K111" s="52">
        <v>413505.2</v>
      </c>
      <c r="L111" s="67">
        <f>IFERROR(E111-K111,0)</f>
        <v>1.1641532182693481E-10</v>
      </c>
      <c r="M111" s="73"/>
      <c r="N111" s="74"/>
    </row>
    <row r="112" spans="1:14" s="27" customFormat="1" ht="15" customHeight="1" thickBot="1" x14ac:dyDescent="0.35">
      <c r="A112" s="5"/>
      <c r="B112" s="6" t="s">
        <v>6</v>
      </c>
      <c r="C112" s="45">
        <v>68857.118212999994</v>
      </c>
      <c r="D112" s="45">
        <v>60907.689999999988</v>
      </c>
      <c r="E112" s="45">
        <v>60907.689999999988</v>
      </c>
      <c r="F112" s="67">
        <f t="shared" ref="F112:F113" si="45">IFERROR(E112-C112,0)</f>
        <v>-7949.4282130000065</v>
      </c>
      <c r="G112" s="45">
        <v>36033.300000000003</v>
      </c>
      <c r="H112" s="67">
        <f t="shared" si="42"/>
        <v>24874.389999999985</v>
      </c>
      <c r="I112" s="21">
        <f t="shared" si="43"/>
        <v>-0.11544816889387599</v>
      </c>
      <c r="J112" s="22">
        <f t="shared" si="44"/>
        <v>0.69031673479808897</v>
      </c>
      <c r="K112" s="52">
        <v>60907.689999999988</v>
      </c>
      <c r="L112" s="67">
        <f>IFERROR(E112-K112,0)</f>
        <v>0</v>
      </c>
      <c r="M112" s="73"/>
      <c r="N112" s="74"/>
    </row>
    <row r="113" spans="1:14" s="27" customFormat="1" ht="15" customHeight="1" thickBot="1" x14ac:dyDescent="0.35">
      <c r="A113" s="5"/>
      <c r="B113" s="6" t="s">
        <v>7</v>
      </c>
      <c r="C113" s="45">
        <v>23808.389579831928</v>
      </c>
      <c r="D113" s="45">
        <v>36194.070000000051</v>
      </c>
      <c r="E113" s="45">
        <v>36194.070000000051</v>
      </c>
      <c r="F113" s="67">
        <f t="shared" si="45"/>
        <v>12385.680420168123</v>
      </c>
      <c r="G113" s="45">
        <v>25817.67</v>
      </c>
      <c r="H113" s="67">
        <f t="shared" si="42"/>
        <v>10376.400000000052</v>
      </c>
      <c r="I113" s="21">
        <f t="shared" si="43"/>
        <v>0.52022335986387014</v>
      </c>
      <c r="J113" s="22">
        <f t="shared" si="44"/>
        <v>0.40191078435815686</v>
      </c>
      <c r="K113" s="52">
        <v>36194.070000000029</v>
      </c>
      <c r="L113" s="67">
        <f>IFERROR(E113-K113,0)</f>
        <v>2.1827872842550278E-11</v>
      </c>
      <c r="M113" s="73"/>
      <c r="N113" s="74"/>
    </row>
    <row r="114" spans="1:14" s="27" customFormat="1" ht="5.0999999999999996" customHeight="1" thickBot="1" x14ac:dyDescent="0.35">
      <c r="A114" s="5"/>
      <c r="B114" s="6"/>
      <c r="C114" s="7"/>
      <c r="D114" s="7"/>
      <c r="E114" s="8"/>
      <c r="F114" s="67"/>
      <c r="G114" s="7"/>
      <c r="H114" s="67"/>
      <c r="I114" s="21"/>
      <c r="J114" s="21"/>
      <c r="K114" s="53"/>
      <c r="L114" s="67"/>
      <c r="M114" s="73"/>
      <c r="N114" s="74"/>
    </row>
    <row r="115" spans="1:14" s="27" customFormat="1" ht="15" customHeight="1" thickBot="1" x14ac:dyDescent="0.35">
      <c r="A115" s="5"/>
      <c r="B115" s="6" t="s">
        <v>8</v>
      </c>
      <c r="C115" s="45">
        <v>7347</v>
      </c>
      <c r="D115" s="45">
        <v>7347</v>
      </c>
      <c r="E115" s="46">
        <v>7347</v>
      </c>
      <c r="F115" s="67">
        <f>IFERROR(E115-C115,0)</f>
        <v>0</v>
      </c>
      <c r="G115" s="45">
        <v>7347</v>
      </c>
      <c r="H115" s="67">
        <f>IFERROR(E115-G115,0)</f>
        <v>0</v>
      </c>
      <c r="I115" s="23"/>
      <c r="J115" s="24"/>
      <c r="K115" s="52">
        <v>7347</v>
      </c>
      <c r="L115" s="67">
        <f>IFERROR(E115-K115,0)</f>
        <v>0</v>
      </c>
      <c r="M115" s="73"/>
      <c r="N115" s="74"/>
    </row>
    <row r="116" spans="1:14" s="27" customFormat="1" ht="15" customHeight="1" thickBot="1" x14ac:dyDescent="0.35">
      <c r="A116" s="5"/>
      <c r="B116" s="6" t="s">
        <v>9</v>
      </c>
      <c r="C116" s="45">
        <v>5200</v>
      </c>
      <c r="D116" s="45">
        <v>5076</v>
      </c>
      <c r="E116" s="46">
        <v>5076</v>
      </c>
      <c r="F116" s="67">
        <f>IFERROR(E116-C116,0)</f>
        <v>-124</v>
      </c>
      <c r="G116" s="45">
        <v>2597</v>
      </c>
      <c r="H116" s="67">
        <f>IFERROR(E116-G116,0)</f>
        <v>2479</v>
      </c>
      <c r="I116" s="23"/>
      <c r="J116" s="24"/>
      <c r="K116" s="52">
        <v>5076</v>
      </c>
      <c r="L116" s="67">
        <f>IFERROR(E116-K116,0)</f>
        <v>0</v>
      </c>
      <c r="M116" s="73"/>
      <c r="N116" s="74"/>
    </row>
    <row r="117" spans="1:14" s="38" customFormat="1" ht="15" customHeight="1" thickBot="1" x14ac:dyDescent="0.35">
      <c r="A117" s="9"/>
      <c r="B117" s="10" t="s">
        <v>10</v>
      </c>
      <c r="C117" s="11">
        <f>IFERROR(C116/C115,0)</f>
        <v>0.70777187967878041</v>
      </c>
      <c r="D117" s="11">
        <f>IFERROR(D116/D115,0)</f>
        <v>0.69089424254797882</v>
      </c>
      <c r="E117" s="11">
        <f>IFERROR(E116/E115,0)</f>
        <v>0.69089424254797882</v>
      </c>
      <c r="F117" s="68">
        <f>IFERROR(E117-C117,0)</f>
        <v>-1.6877637130801593E-2</v>
      </c>
      <c r="G117" s="11">
        <f>IFERROR(G116/G115,0)</f>
        <v>0.35347760990880633</v>
      </c>
      <c r="H117" s="68">
        <f>IFERROR(E117-G117,0)</f>
        <v>0.33741663263917249</v>
      </c>
      <c r="I117" s="20">
        <f>IFERROR(E117/C117-1,0)</f>
        <v>-2.3846153846153739E-2</v>
      </c>
      <c r="J117" s="11">
        <f>IFERROR(E117/G117-1,0)</f>
        <v>0.95456295725837514</v>
      </c>
      <c r="K117" s="12">
        <f>IFERROR(K116/K115,0)</f>
        <v>0.69089424254797882</v>
      </c>
      <c r="L117" s="68">
        <f>IFERROR(E117-K117,0)</f>
        <v>0</v>
      </c>
      <c r="M117" s="73"/>
      <c r="N117" s="74"/>
    </row>
    <row r="118" spans="1:14" s="27" customFormat="1" ht="5.0999999999999996" customHeight="1" thickBot="1" x14ac:dyDescent="0.35">
      <c r="A118" s="5"/>
      <c r="B118" s="6"/>
      <c r="C118" s="7"/>
      <c r="D118" s="13"/>
      <c r="E118" s="14"/>
      <c r="F118" s="67"/>
      <c r="G118" s="13"/>
      <c r="H118" s="67"/>
      <c r="I118" s="21"/>
      <c r="J118" s="22"/>
      <c r="K118" s="54"/>
      <c r="L118" s="67"/>
      <c r="M118" s="73"/>
      <c r="N118" s="74"/>
    </row>
    <row r="119" spans="1:14" s="27" customFormat="1" ht="15" customHeight="1" thickBot="1" x14ac:dyDescent="0.35">
      <c r="A119" s="5"/>
      <c r="B119" s="6" t="s">
        <v>11</v>
      </c>
      <c r="C119" s="45">
        <v>8382.5</v>
      </c>
      <c r="D119" s="45">
        <v>8299</v>
      </c>
      <c r="E119" s="46">
        <v>8299</v>
      </c>
      <c r="F119" s="67">
        <f>IFERROR(E119-C119,0)</f>
        <v>-83.5</v>
      </c>
      <c r="G119" s="45">
        <v>4466</v>
      </c>
      <c r="H119" s="67">
        <f>IFERROR(E119-G119,0)</f>
        <v>3833</v>
      </c>
      <c r="I119" s="21"/>
      <c r="J119" s="22"/>
      <c r="K119" s="52">
        <v>8299</v>
      </c>
      <c r="L119" s="67">
        <f>IFERROR(E119-K119,0)</f>
        <v>0</v>
      </c>
      <c r="M119" s="73"/>
      <c r="N119" s="74"/>
    </row>
    <row r="120" spans="1:14" s="27" customFormat="1" ht="15" customHeight="1" thickBot="1" x14ac:dyDescent="0.35">
      <c r="A120" s="5"/>
      <c r="B120" s="6" t="s">
        <v>12</v>
      </c>
      <c r="C120" s="15">
        <f>IFERROR(C119/C116,0)</f>
        <v>1.6120192307692307</v>
      </c>
      <c r="D120" s="15">
        <f>IFERROR(D119/D116,0)</f>
        <v>1.6349487785657999</v>
      </c>
      <c r="E120" s="15">
        <f>IFERROR(E119/E116,0)</f>
        <v>1.6349487785657999</v>
      </c>
      <c r="F120" s="69">
        <f>IFERROR(E120-C120,0)</f>
        <v>2.2929547796569194E-2</v>
      </c>
      <c r="G120" s="15">
        <f>IFERROR(G119/G116,0)</f>
        <v>1.7196765498652291</v>
      </c>
      <c r="H120" s="69">
        <f>IFERROR(E120-G120,0)</f>
        <v>-8.4727771299429211E-2</v>
      </c>
      <c r="I120" s="21"/>
      <c r="J120" s="22"/>
      <c r="K120" s="55">
        <f>IFERROR(K119/K116,0)</f>
        <v>1.6349487785657999</v>
      </c>
      <c r="L120" s="69">
        <f>IFERROR(E120-K120,0)</f>
        <v>0</v>
      </c>
      <c r="M120" s="73"/>
      <c r="N120" s="74"/>
    </row>
    <row r="121" spans="1:14" s="27" customFormat="1" ht="5.0999999999999996" customHeight="1" thickBot="1" x14ac:dyDescent="0.35">
      <c r="A121" s="5"/>
      <c r="B121" s="6"/>
      <c r="C121" s="7"/>
      <c r="D121" s="13"/>
      <c r="E121" s="14"/>
      <c r="F121" s="69"/>
      <c r="G121" s="13"/>
      <c r="H121" s="69"/>
      <c r="I121" s="21"/>
      <c r="J121" s="22"/>
      <c r="K121" s="54"/>
      <c r="L121" s="69"/>
      <c r="M121" s="73"/>
      <c r="N121" s="74"/>
    </row>
    <row r="122" spans="1:14" s="27" customFormat="1" ht="15" customHeight="1" thickBot="1" x14ac:dyDescent="0.35">
      <c r="A122" s="5"/>
      <c r="B122" s="6" t="s">
        <v>13</v>
      </c>
      <c r="C122" s="15">
        <f>IFERROR(C111/C116,0)</f>
        <v>87.801907692307694</v>
      </c>
      <c r="D122" s="15">
        <f>IFERROR(D111/D116,0)</f>
        <v>81.462805358550071</v>
      </c>
      <c r="E122" s="15">
        <f>IFERROR(E111/E116,0)</f>
        <v>81.462805358550071</v>
      </c>
      <c r="F122" s="69">
        <f>IFERROR(E122-C122,0)</f>
        <v>-6.3391023337576229</v>
      </c>
      <c r="G122" s="15">
        <f>IFERROR(G111/G116,0)</f>
        <v>82.459422410473621</v>
      </c>
      <c r="H122" s="69">
        <f>IFERROR(E122-G122,0)</f>
        <v>-0.99661705192355043</v>
      </c>
      <c r="I122" s="21">
        <f>IFERROR(E122/C122-1,0)</f>
        <v>-7.2197774517295477E-2</v>
      </c>
      <c r="J122" s="22">
        <f>IFERROR(E122/G122-1,0)</f>
        <v>-1.2086151258281941E-2</v>
      </c>
      <c r="K122" s="55">
        <f>IFERROR(K111/K116,0)</f>
        <v>81.462805358550042</v>
      </c>
      <c r="L122" s="69">
        <f>IFERROR(E122-K122,0)</f>
        <v>2.8421709430404007E-14</v>
      </c>
      <c r="M122" s="73"/>
      <c r="N122" s="74"/>
    </row>
    <row r="123" spans="1:14" s="38" customFormat="1" ht="15" customHeight="1" thickBot="1" x14ac:dyDescent="0.35">
      <c r="A123" s="9"/>
      <c r="B123" s="10" t="s">
        <v>14</v>
      </c>
      <c r="C123" s="16">
        <f>IFERROR(C111/C115,0)</f>
        <v>62.143721246767385</v>
      </c>
      <c r="D123" s="16">
        <f>IFERROR(D111/D115,0)</f>
        <v>56.282183204028875</v>
      </c>
      <c r="E123" s="16">
        <f>IFERROR(E111/E115,0)</f>
        <v>56.282183204028875</v>
      </c>
      <c r="F123" s="70">
        <f t="shared" ref="F123:F124" si="46">IFERROR(E123-C123,0)</f>
        <v>-5.8615380427385091</v>
      </c>
      <c r="G123" s="16">
        <f>IFERROR(G111/G115,0)</f>
        <v>29.147559548114877</v>
      </c>
      <c r="H123" s="70">
        <f t="shared" ref="H123:H124" si="47">IFERROR(E123-G123,0)</f>
        <v>27.134623655913998</v>
      </c>
      <c r="I123" s="20">
        <f>IFERROR(E123/C123-1,0)</f>
        <v>-9.432228912495999E-2</v>
      </c>
      <c r="J123" s="11">
        <f>IFERROR(E123/G123-1,0)</f>
        <v>0.93093981371311529</v>
      </c>
      <c r="K123" s="56">
        <f>IFERROR(K111/K115,0)</f>
        <v>56.282183204028854</v>
      </c>
      <c r="L123" s="70">
        <f>IFERROR(E123-K123,0)</f>
        <v>2.1316282072803006E-14</v>
      </c>
      <c r="M123" s="73"/>
      <c r="N123" s="74"/>
    </row>
    <row r="124" spans="1:14" ht="15" customHeight="1" thickBot="1" x14ac:dyDescent="0.35">
      <c r="A124" s="17"/>
      <c r="B124" s="18" t="s">
        <v>34</v>
      </c>
      <c r="C124" s="19">
        <f>IFERROR(C110/C116,0)</f>
        <v>105.62219765246768</v>
      </c>
      <c r="D124" s="19">
        <f>IFERROR(D110/D116,0)</f>
        <v>100.59238770685583</v>
      </c>
      <c r="E124" s="19">
        <f>IFERROR(E110/E116,0)</f>
        <v>100.59238770685583</v>
      </c>
      <c r="F124" s="72">
        <f t="shared" si="46"/>
        <v>-5.029809945611845</v>
      </c>
      <c r="G124" s="19">
        <f>IFERROR(G110/G116,0)</f>
        <v>106.27573738929533</v>
      </c>
      <c r="H124" s="72">
        <f t="shared" si="47"/>
        <v>-5.6833496824394985</v>
      </c>
      <c r="I124" s="25">
        <f>IFERROR(E124/C124-1,0)</f>
        <v>-4.7620765875006743E-2</v>
      </c>
      <c r="J124" s="26">
        <f>IFERROR(E124/G124-1,0)</f>
        <v>-5.347739589536793E-2</v>
      </c>
      <c r="K124" s="57">
        <f>IFERROR(K110/K116,0)</f>
        <v>100.5923877068558</v>
      </c>
      <c r="L124" s="72">
        <f>IFERROR(E124-K124,0)</f>
        <v>2.8421709430404007E-14</v>
      </c>
      <c r="M124" s="73"/>
      <c r="N124" s="74"/>
    </row>
    <row r="125" spans="1:14" s="27" customFormat="1" ht="15" customHeight="1" thickBot="1" x14ac:dyDescent="0.35">
      <c r="A125" s="1"/>
      <c r="B125" s="2" t="s">
        <v>16</v>
      </c>
      <c r="C125" s="3">
        <f>SUM(C126:C128)</f>
        <v>576827.03955721005</v>
      </c>
      <c r="D125" s="3">
        <f>SUM(D126:D128)</f>
        <v>664541.9</v>
      </c>
      <c r="E125" s="4">
        <f>SUM(E126:E128)</f>
        <v>664541.9</v>
      </c>
      <c r="F125" s="71">
        <f>IFERROR(SUM(F126:F128),0)</f>
        <v>87714.860442789868</v>
      </c>
      <c r="G125" s="3">
        <f>SUM(G126:G128)</f>
        <v>367401.75000000006</v>
      </c>
      <c r="H125" s="71">
        <f>IFERROR(E125-G125,0)</f>
        <v>297140.14999999997</v>
      </c>
      <c r="I125" s="20">
        <f>IFERROR(E125/C125-1,0)</f>
        <v>0.15206440479995975</v>
      </c>
      <c r="J125" s="11">
        <f>IFERROR(E125/G125-1,0)</f>
        <v>0.80876084558660888</v>
      </c>
      <c r="K125" s="51">
        <f>SUM(K126:K128)</f>
        <v>664541.89999999991</v>
      </c>
      <c r="L125" s="71">
        <f>IFERROR(SUM(L126:L128),0)</f>
        <v>-6.184563972055912E-11</v>
      </c>
      <c r="M125" s="73"/>
      <c r="N125" s="74"/>
    </row>
    <row r="126" spans="1:14" s="27" customFormat="1" ht="15" customHeight="1" thickBot="1" x14ac:dyDescent="0.35">
      <c r="A126" s="5"/>
      <c r="B126" s="6" t="s">
        <v>5</v>
      </c>
      <c r="C126" s="45">
        <v>473154.8</v>
      </c>
      <c r="D126" s="45">
        <v>551434.41999999993</v>
      </c>
      <c r="E126" s="45">
        <v>551434.41999999993</v>
      </c>
      <c r="F126" s="67">
        <f>IFERROR(E126-C126,0)</f>
        <v>78279.619999999937</v>
      </c>
      <c r="G126" s="45">
        <v>294980.14</v>
      </c>
      <c r="H126" s="67">
        <f t="shared" ref="H126:H128" si="48">IFERROR(E126-G126,0)</f>
        <v>256454.27999999991</v>
      </c>
      <c r="I126" s="21">
        <f t="shared" ref="I126:I128" si="49">IFERROR(E126/C126-1,0)</f>
        <v>0.16544188075445909</v>
      </c>
      <c r="J126" s="22">
        <f t="shared" ref="J126:J128" si="50">IFERROR(E126/G126-1,0)</f>
        <v>0.86939507181737685</v>
      </c>
      <c r="K126" s="52">
        <v>551434.42000000004</v>
      </c>
      <c r="L126" s="67">
        <f>IFERROR(E126-K126,0)</f>
        <v>-1.1641532182693481E-10</v>
      </c>
      <c r="M126" s="73"/>
      <c r="N126" s="74"/>
    </row>
    <row r="127" spans="1:14" s="27" customFormat="1" ht="15" customHeight="1" thickBot="1" x14ac:dyDescent="0.35">
      <c r="A127" s="5"/>
      <c r="B127" s="6" t="s">
        <v>6</v>
      </c>
      <c r="C127" s="45">
        <v>76294.656531999994</v>
      </c>
      <c r="D127" s="45">
        <v>88984.26999999996</v>
      </c>
      <c r="E127" s="45">
        <v>88984.26999999996</v>
      </c>
      <c r="F127" s="67">
        <f t="shared" ref="F127:F128" si="51">IFERROR(E127-C127,0)</f>
        <v>12689.613467999967</v>
      </c>
      <c r="G127" s="45">
        <v>51678.91</v>
      </c>
      <c r="H127" s="67">
        <f t="shared" si="48"/>
        <v>37305.359999999957</v>
      </c>
      <c r="I127" s="21">
        <f t="shared" si="49"/>
        <v>0.16632375116175546</v>
      </c>
      <c r="J127" s="22">
        <f t="shared" si="50"/>
        <v>0.72186816633709872</v>
      </c>
      <c r="K127" s="52">
        <v>88984.26999999996</v>
      </c>
      <c r="L127" s="67">
        <f>IFERROR(E127-K127,0)</f>
        <v>0</v>
      </c>
      <c r="M127" s="73"/>
      <c r="N127" s="74"/>
    </row>
    <row r="128" spans="1:14" s="27" customFormat="1" ht="15" customHeight="1" thickBot="1" x14ac:dyDescent="0.35">
      <c r="A128" s="5"/>
      <c r="B128" s="6" t="s">
        <v>7</v>
      </c>
      <c r="C128" s="45">
        <v>27377.583025210079</v>
      </c>
      <c r="D128" s="45">
        <v>24123.210000000043</v>
      </c>
      <c r="E128" s="45">
        <v>24123.210000000043</v>
      </c>
      <c r="F128" s="67">
        <f t="shared" si="51"/>
        <v>-3254.3730252100358</v>
      </c>
      <c r="G128" s="45">
        <v>20742.7</v>
      </c>
      <c r="H128" s="67">
        <f t="shared" si="48"/>
        <v>3380.5100000000421</v>
      </c>
      <c r="I128" s="21">
        <f t="shared" si="49"/>
        <v>-0.11886999017456412</v>
      </c>
      <c r="J128" s="22">
        <f t="shared" si="50"/>
        <v>0.16297347982663979</v>
      </c>
      <c r="K128" s="52">
        <v>24123.209999999988</v>
      </c>
      <c r="L128" s="67">
        <f>IFERROR(E128-K128,0)</f>
        <v>5.4569682106375694E-11</v>
      </c>
      <c r="M128" s="73"/>
      <c r="N128" s="74"/>
    </row>
    <row r="129" spans="1:14" s="27" customFormat="1" ht="5.0999999999999996" customHeight="1" thickBot="1" x14ac:dyDescent="0.35">
      <c r="A129" s="5"/>
      <c r="B129" s="6"/>
      <c r="C129" s="7"/>
      <c r="D129" s="7"/>
      <c r="E129" s="8"/>
      <c r="F129" s="67"/>
      <c r="G129" s="7"/>
      <c r="H129" s="67"/>
      <c r="I129" s="21"/>
      <c r="J129" s="21"/>
      <c r="K129" s="53"/>
      <c r="L129" s="67"/>
      <c r="M129" s="73"/>
      <c r="N129" s="74"/>
    </row>
    <row r="130" spans="1:14" s="27" customFormat="1" ht="15" customHeight="1" thickBot="1" x14ac:dyDescent="0.35">
      <c r="A130" s="5"/>
      <c r="B130" s="6" t="s">
        <v>8</v>
      </c>
      <c r="C130" s="45">
        <v>7347</v>
      </c>
      <c r="D130" s="45">
        <v>7347</v>
      </c>
      <c r="E130" s="46">
        <v>7347</v>
      </c>
      <c r="F130" s="67">
        <f>IFERROR(E130-C130,0)</f>
        <v>0</v>
      </c>
      <c r="G130" s="45">
        <v>7347</v>
      </c>
      <c r="H130" s="67">
        <f>IFERROR(E130-G130,0)</f>
        <v>0</v>
      </c>
      <c r="I130" s="23"/>
      <c r="J130" s="24"/>
      <c r="K130" s="52">
        <v>7347</v>
      </c>
      <c r="L130" s="67">
        <f>IFERROR(E130-K130,0)</f>
        <v>0</v>
      </c>
      <c r="M130" s="73"/>
      <c r="N130" s="74"/>
    </row>
    <row r="131" spans="1:14" s="27" customFormat="1" ht="15" customHeight="1" thickBot="1" x14ac:dyDescent="0.35">
      <c r="A131" s="5"/>
      <c r="B131" s="6" t="s">
        <v>9</v>
      </c>
      <c r="C131" s="45">
        <v>5400</v>
      </c>
      <c r="D131" s="45">
        <v>6356</v>
      </c>
      <c r="E131" s="46">
        <v>6356</v>
      </c>
      <c r="F131" s="67">
        <f>IFERROR(E131-C131,0)</f>
        <v>956</v>
      </c>
      <c r="G131" s="45">
        <v>3585</v>
      </c>
      <c r="H131" s="67">
        <f>IFERROR(E131-G131,0)</f>
        <v>2771</v>
      </c>
      <c r="I131" s="23"/>
      <c r="J131" s="24"/>
      <c r="K131" s="52">
        <v>6356</v>
      </c>
      <c r="L131" s="67">
        <f>IFERROR(E131-K131,0)</f>
        <v>0</v>
      </c>
      <c r="M131" s="73"/>
      <c r="N131" s="74"/>
    </row>
    <row r="132" spans="1:14" s="38" customFormat="1" ht="15" customHeight="1" thickBot="1" x14ac:dyDescent="0.35">
      <c r="A132" s="9"/>
      <c r="B132" s="10" t="s">
        <v>10</v>
      </c>
      <c r="C132" s="11">
        <f>IFERROR(C131/C130,0)</f>
        <v>0.73499387505104119</v>
      </c>
      <c r="D132" s="11">
        <f>IFERROR(D131/D130,0)</f>
        <v>0.86511501293044779</v>
      </c>
      <c r="E132" s="11">
        <f>IFERROR(E131/E130,0)</f>
        <v>0.86511501293044779</v>
      </c>
      <c r="F132" s="68">
        <f>IFERROR(E132-C132,0)</f>
        <v>0.1301211378794066</v>
      </c>
      <c r="G132" s="11">
        <f>IFERROR(G131/G130,0)</f>
        <v>0.48795426704777461</v>
      </c>
      <c r="H132" s="68">
        <f>IFERROR(E132-G132,0)</f>
        <v>0.37716074588267318</v>
      </c>
      <c r="I132" s="20">
        <f>IFERROR(E132/C132-1,0)</f>
        <v>0.1770370370370371</v>
      </c>
      <c r="J132" s="11">
        <f>IFERROR(E132/G132-1,0)</f>
        <v>0.7729428172942816</v>
      </c>
      <c r="K132" s="12">
        <f>IFERROR(K131/K130,0)</f>
        <v>0.86511501293044779</v>
      </c>
      <c r="L132" s="68">
        <f>IFERROR(E132-K132,0)</f>
        <v>0</v>
      </c>
      <c r="M132" s="73"/>
      <c r="N132" s="74"/>
    </row>
    <row r="133" spans="1:14" s="27" customFormat="1" ht="5.0999999999999996" customHeight="1" thickBot="1" x14ac:dyDescent="0.35">
      <c r="A133" s="5"/>
      <c r="B133" s="6"/>
      <c r="C133" s="7"/>
      <c r="D133" s="13"/>
      <c r="E133" s="14"/>
      <c r="F133" s="67"/>
      <c r="G133" s="13"/>
      <c r="H133" s="67"/>
      <c r="I133" s="21"/>
      <c r="J133" s="22"/>
      <c r="K133" s="54"/>
      <c r="L133" s="67"/>
      <c r="M133" s="73"/>
      <c r="N133" s="74"/>
    </row>
    <row r="134" spans="1:14" s="27" customFormat="1" ht="15" customHeight="1" thickBot="1" x14ac:dyDescent="0.35">
      <c r="A134" s="5"/>
      <c r="B134" s="6" t="s">
        <v>11</v>
      </c>
      <c r="C134" s="45">
        <v>8412</v>
      </c>
      <c r="D134" s="45">
        <v>10054</v>
      </c>
      <c r="E134" s="46">
        <v>10054</v>
      </c>
      <c r="F134" s="67">
        <f>IFERROR(E134-C134,0)</f>
        <v>1642</v>
      </c>
      <c r="G134" s="45">
        <v>6019</v>
      </c>
      <c r="H134" s="67">
        <f>IFERROR(E134-G134,0)</f>
        <v>4035</v>
      </c>
      <c r="I134" s="21"/>
      <c r="J134" s="22"/>
      <c r="K134" s="52">
        <v>10054</v>
      </c>
      <c r="L134" s="67">
        <f>IFERROR(E134-K134,0)</f>
        <v>0</v>
      </c>
      <c r="M134" s="73"/>
      <c r="N134" s="74"/>
    </row>
    <row r="135" spans="1:14" s="27" customFormat="1" ht="15" customHeight="1" thickBot="1" x14ac:dyDescent="0.35">
      <c r="A135" s="5"/>
      <c r="B135" s="6" t="s">
        <v>12</v>
      </c>
      <c r="C135" s="15">
        <f>IFERROR(C134/C131,0)</f>
        <v>1.5577777777777777</v>
      </c>
      <c r="D135" s="15">
        <f>IFERROR(D134/D131,0)</f>
        <v>1.5818124606670863</v>
      </c>
      <c r="E135" s="15">
        <f>IFERROR(E134/E131,0)</f>
        <v>1.5818124606670863</v>
      </c>
      <c r="F135" s="69">
        <f>IFERROR(E135-C135,0)</f>
        <v>2.4034682889308545E-2</v>
      </c>
      <c r="G135" s="15">
        <f>IFERROR(G134/G131,0)</f>
        <v>1.6789400278940028</v>
      </c>
      <c r="H135" s="69">
        <f>IFERROR(E135-G135,0)</f>
        <v>-9.7127567226916511E-2</v>
      </c>
      <c r="I135" s="21"/>
      <c r="J135" s="22"/>
      <c r="K135" s="55">
        <f>IFERROR(K134/K131,0)</f>
        <v>1.5818124606670863</v>
      </c>
      <c r="L135" s="69">
        <f>IFERROR(E135-K135,0)</f>
        <v>0</v>
      </c>
      <c r="M135" s="73"/>
      <c r="N135" s="74"/>
    </row>
    <row r="136" spans="1:14" s="27" customFormat="1" ht="5.0999999999999996" customHeight="1" thickBot="1" x14ac:dyDescent="0.35">
      <c r="A136" s="5"/>
      <c r="B136" s="6"/>
      <c r="C136" s="7"/>
      <c r="D136" s="13"/>
      <c r="E136" s="14"/>
      <c r="F136" s="69"/>
      <c r="G136" s="13"/>
      <c r="H136" s="69"/>
      <c r="I136" s="21"/>
      <c r="J136" s="22"/>
      <c r="K136" s="54"/>
      <c r="L136" s="69"/>
      <c r="M136" s="73"/>
      <c r="N136" s="74"/>
    </row>
    <row r="137" spans="1:14" s="27" customFormat="1" ht="15" customHeight="1" thickBot="1" x14ac:dyDescent="0.35">
      <c r="A137" s="5"/>
      <c r="B137" s="6" t="s">
        <v>13</v>
      </c>
      <c r="C137" s="15">
        <f>IFERROR(C126/C131,0)</f>
        <v>87.621259259259261</v>
      </c>
      <c r="D137" s="15">
        <f>IFERROR(D126/D131,0)</f>
        <v>86.758089993706719</v>
      </c>
      <c r="E137" s="15">
        <f>IFERROR(E126/E131,0)</f>
        <v>86.758089993706719</v>
      </c>
      <c r="F137" s="69">
        <f>IFERROR(E137-C137,0)</f>
        <v>-0.8631692655525427</v>
      </c>
      <c r="G137" s="15">
        <f>IFERROR(G126/G131,0)</f>
        <v>82.281768479776858</v>
      </c>
      <c r="H137" s="69">
        <f>IFERROR(E137-G137,0)</f>
        <v>4.4763215139298609</v>
      </c>
      <c r="I137" s="21">
        <f>IFERROR(E137/C137-1,0)</f>
        <v>-9.8511396988548716E-3</v>
      </c>
      <c r="J137" s="22">
        <f>IFERROR(E137/G137-1,0)</f>
        <v>5.4402349349480073E-2</v>
      </c>
      <c r="K137" s="55">
        <f>IFERROR(K126/K131,0)</f>
        <v>86.758089993706747</v>
      </c>
      <c r="L137" s="69">
        <f>IFERROR(E137-K137,0)</f>
        <v>-2.8421709430404007E-14</v>
      </c>
      <c r="M137" s="73"/>
      <c r="N137" s="74"/>
    </row>
    <row r="138" spans="1:14" s="38" customFormat="1" ht="15" customHeight="1" thickBot="1" x14ac:dyDescent="0.35">
      <c r="A138" s="9"/>
      <c r="B138" s="10" t="s">
        <v>14</v>
      </c>
      <c r="C138" s="16">
        <f>IFERROR(C126/C130,0)</f>
        <v>64.401088879814893</v>
      </c>
      <c r="D138" s="16">
        <f>IFERROR(D126/D130,0)</f>
        <v>75.055726146726542</v>
      </c>
      <c r="E138" s="16">
        <f>IFERROR(E126/E130,0)</f>
        <v>75.055726146726542</v>
      </c>
      <c r="F138" s="70">
        <f t="shared" ref="F138:F139" si="52">IFERROR(E138-C138,0)</f>
        <v>10.654637266911649</v>
      </c>
      <c r="G138" s="16">
        <f>IFERROR(G126/G130,0)</f>
        <v>40.149740029944198</v>
      </c>
      <c r="H138" s="70">
        <f t="shared" ref="H138:H139" si="53">IFERROR(E138-G138,0)</f>
        <v>34.905986116782344</v>
      </c>
      <c r="I138" s="20">
        <f>IFERROR(E138/C138-1,0)</f>
        <v>0.16544188075445887</v>
      </c>
      <c r="J138" s="11">
        <f>IFERROR(E138/G138-1,0)</f>
        <v>0.86939507181737685</v>
      </c>
      <c r="K138" s="56">
        <f>IFERROR(K126/K130,0)</f>
        <v>75.055726146726556</v>
      </c>
      <c r="L138" s="70">
        <f>IFERROR(E138-K138,0)</f>
        <v>-1.4210854715202004E-14</v>
      </c>
      <c r="M138" s="73"/>
      <c r="N138" s="74"/>
    </row>
    <row r="139" spans="1:14" ht="15" customHeight="1" thickBot="1" x14ac:dyDescent="0.35">
      <c r="A139" s="17"/>
      <c r="B139" s="18" t="s">
        <v>34</v>
      </c>
      <c r="C139" s="19">
        <f>IFERROR(C125/C131,0)</f>
        <v>106.81982214022409</v>
      </c>
      <c r="D139" s="19">
        <f>IFERROR(D125/D131,0)</f>
        <v>104.55347702957836</v>
      </c>
      <c r="E139" s="19">
        <f>IFERROR(E125/E131,0)</f>
        <v>104.55347702957836</v>
      </c>
      <c r="F139" s="72">
        <f t="shared" si="52"/>
        <v>-2.2663451106457302</v>
      </c>
      <c r="G139" s="19">
        <f>IFERROR(G125/G131,0)</f>
        <v>102.48305439330545</v>
      </c>
      <c r="H139" s="72">
        <f t="shared" si="53"/>
        <v>2.0704226362729088</v>
      </c>
      <c r="I139" s="25">
        <f>IFERROR(E139/C139-1,0)</f>
        <v>-2.1216522039052443E-2</v>
      </c>
      <c r="J139" s="26">
        <f>IFERROR(E139/G139-1,0)</f>
        <v>2.0202585183762389E-2</v>
      </c>
      <c r="K139" s="57">
        <f>IFERROR(K125/K131,0)</f>
        <v>104.55347702957833</v>
      </c>
      <c r="L139" s="72">
        <f>IFERROR(E139-K139,0)</f>
        <v>2.8421709430404007E-14</v>
      </c>
      <c r="M139" s="73"/>
      <c r="N139" s="74"/>
    </row>
    <row r="140" spans="1:14" s="27" customFormat="1" ht="15" customHeight="1" thickBot="1" x14ac:dyDescent="0.35">
      <c r="A140" s="1"/>
      <c r="B140" s="2" t="s">
        <v>17</v>
      </c>
      <c r="C140" s="3">
        <f>SUM(C141:C143)</f>
        <v>945989.91203965549</v>
      </c>
      <c r="D140" s="3">
        <f>SUM(D141:D143)</f>
        <v>670207.37</v>
      </c>
      <c r="E140" s="4">
        <f>SUM(E141:E143)</f>
        <v>670207.37</v>
      </c>
      <c r="F140" s="71">
        <f>IFERROR(SUM(F141:F143),0)</f>
        <v>-275782.54203965538</v>
      </c>
      <c r="G140" s="3">
        <f>SUM(G141:G143)</f>
        <v>320715.42000000004</v>
      </c>
      <c r="H140" s="71">
        <f>IFERROR(E140-G140,0)</f>
        <v>349491.94999999995</v>
      </c>
      <c r="I140" s="20">
        <f>IFERROR(E140/C140-1,0)</f>
        <v>-0.2915279946749525</v>
      </c>
      <c r="J140" s="11">
        <f>IFERROR(E140/G140-1,0)</f>
        <v>1.0897260568263287</v>
      </c>
      <c r="K140" s="51">
        <f>SUM(K141:K143)</f>
        <v>670207.37000000011</v>
      </c>
      <c r="L140" s="71">
        <f>IFERROR(SUM(L141:L143),0)</f>
        <v>-2.9103830456733704E-11</v>
      </c>
      <c r="M140" s="73" t="s">
        <v>167</v>
      </c>
      <c r="N140" s="74"/>
    </row>
    <row r="141" spans="1:14" s="27" customFormat="1" ht="15" customHeight="1" thickBot="1" x14ac:dyDescent="0.35">
      <c r="A141" s="5"/>
      <c r="B141" s="6" t="s">
        <v>5</v>
      </c>
      <c r="C141" s="45">
        <v>800970</v>
      </c>
      <c r="D141" s="45">
        <v>505084.96</v>
      </c>
      <c r="E141" s="45">
        <v>505084.96</v>
      </c>
      <c r="F141" s="67">
        <f>IFERROR(E141-C141,0)</f>
        <v>-295885.03999999998</v>
      </c>
      <c r="G141" s="45">
        <v>251176.97</v>
      </c>
      <c r="H141" s="67">
        <f t="shared" ref="H141:H143" si="54">IFERROR(E141-G141,0)</f>
        <v>253907.99000000002</v>
      </c>
      <c r="I141" s="21">
        <f t="shared" ref="I141:I143" si="55">IFERROR(E141/C141-1,0)</f>
        <v>-0.36940839232430678</v>
      </c>
      <c r="J141" s="22">
        <f t="shared" ref="J141:J143" si="56">IFERROR(E141/G141-1,0)</f>
        <v>1.0108728917304801</v>
      </c>
      <c r="K141" s="52">
        <v>505084.96</v>
      </c>
      <c r="L141" s="67">
        <f>IFERROR(E141-K141,0)</f>
        <v>0</v>
      </c>
      <c r="M141" s="73"/>
      <c r="N141" s="74"/>
    </row>
    <row r="142" spans="1:14" s="27" customFormat="1" ht="15" customHeight="1" thickBot="1" x14ac:dyDescent="0.35">
      <c r="A142" s="5"/>
      <c r="B142" s="6" t="s">
        <v>6</v>
      </c>
      <c r="C142" s="45">
        <v>98264.94540099999</v>
      </c>
      <c r="D142" s="45">
        <v>116144.92000000001</v>
      </c>
      <c r="E142" s="45">
        <v>116144.92000000001</v>
      </c>
      <c r="F142" s="67">
        <f t="shared" ref="F142:F143" si="57">IFERROR(E142-C142,0)</f>
        <v>17879.974599000023</v>
      </c>
      <c r="G142" s="45">
        <v>54520.36</v>
      </c>
      <c r="H142" s="67">
        <f t="shared" si="54"/>
        <v>61624.560000000012</v>
      </c>
      <c r="I142" s="21">
        <f t="shared" si="55"/>
        <v>0.1819567957427275</v>
      </c>
      <c r="J142" s="22">
        <f t="shared" si="56"/>
        <v>1.1303036150164822</v>
      </c>
      <c r="K142" s="52">
        <v>116144.92000000006</v>
      </c>
      <c r="L142" s="67">
        <f>IFERROR(E142-K142,0)</f>
        <v>-4.3655745685100555E-11</v>
      </c>
      <c r="M142" s="73"/>
      <c r="N142" s="74"/>
    </row>
    <row r="143" spans="1:14" s="27" customFormat="1" ht="15" customHeight="1" thickBot="1" x14ac:dyDescent="0.35">
      <c r="A143" s="5"/>
      <c r="B143" s="6" t="s">
        <v>7</v>
      </c>
      <c r="C143" s="45">
        <v>46754.96663865546</v>
      </c>
      <c r="D143" s="45">
        <v>48977.49000000002</v>
      </c>
      <c r="E143" s="45">
        <v>48977.49000000002</v>
      </c>
      <c r="F143" s="67">
        <f t="shared" si="57"/>
        <v>2222.5233613445598</v>
      </c>
      <c r="G143" s="45">
        <v>15018.09</v>
      </c>
      <c r="H143" s="67">
        <f t="shared" si="54"/>
        <v>33959.400000000023</v>
      </c>
      <c r="I143" s="21">
        <f t="shared" si="55"/>
        <v>4.753555656495867E-2</v>
      </c>
      <c r="J143" s="22">
        <f t="shared" si="56"/>
        <v>2.2612329530586126</v>
      </c>
      <c r="K143" s="52">
        <v>48977.490000000005</v>
      </c>
      <c r="L143" s="67">
        <f>IFERROR(E143-K143,0)</f>
        <v>1.4551915228366852E-11</v>
      </c>
      <c r="M143" s="73"/>
      <c r="N143" s="74"/>
    </row>
    <row r="144" spans="1:14" s="27" customFormat="1" ht="5.0999999999999996" customHeight="1" thickBot="1" x14ac:dyDescent="0.35">
      <c r="A144" s="5"/>
      <c r="B144" s="6"/>
      <c r="C144" s="7"/>
      <c r="D144" s="7"/>
      <c r="E144" s="8"/>
      <c r="F144" s="67"/>
      <c r="G144" s="7"/>
      <c r="H144" s="67"/>
      <c r="I144" s="21"/>
      <c r="J144" s="21"/>
      <c r="K144" s="53"/>
      <c r="L144" s="67"/>
      <c r="M144" s="73"/>
      <c r="N144" s="74"/>
    </row>
    <row r="145" spans="1:14" s="27" customFormat="1" ht="15" customHeight="1" thickBot="1" x14ac:dyDescent="0.35">
      <c r="A145" s="5"/>
      <c r="B145" s="6" t="s">
        <v>8</v>
      </c>
      <c r="C145" s="45">
        <v>7110</v>
      </c>
      <c r="D145" s="45">
        <v>7110</v>
      </c>
      <c r="E145" s="46">
        <v>7110</v>
      </c>
      <c r="F145" s="67">
        <f>IFERROR(E145-C145,0)</f>
        <v>0</v>
      </c>
      <c r="G145" s="45">
        <v>7110</v>
      </c>
      <c r="H145" s="67">
        <f>IFERROR(E145-G145,0)</f>
        <v>0</v>
      </c>
      <c r="I145" s="23"/>
      <c r="J145" s="24"/>
      <c r="K145" s="52">
        <v>7110</v>
      </c>
      <c r="L145" s="67">
        <f>IFERROR(E145-K145,0)</f>
        <v>0</v>
      </c>
      <c r="M145" s="73"/>
      <c r="N145" s="74"/>
    </row>
    <row r="146" spans="1:14" s="27" customFormat="1" ht="15" customHeight="1" thickBot="1" x14ac:dyDescent="0.35">
      <c r="A146" s="5"/>
      <c r="B146" s="6" t="s">
        <v>9</v>
      </c>
      <c r="C146" s="45">
        <v>5900</v>
      </c>
      <c r="D146" s="45">
        <v>5380</v>
      </c>
      <c r="E146" s="46">
        <v>5380</v>
      </c>
      <c r="F146" s="67">
        <f>IFERROR(E146-C146,0)</f>
        <v>-520</v>
      </c>
      <c r="G146" s="45">
        <v>2971</v>
      </c>
      <c r="H146" s="67">
        <f>IFERROR(E146-G146,0)</f>
        <v>2409</v>
      </c>
      <c r="I146" s="23"/>
      <c r="J146" s="24"/>
      <c r="K146" s="52">
        <v>5380</v>
      </c>
      <c r="L146" s="67">
        <f>IFERROR(E146-K146,0)</f>
        <v>0</v>
      </c>
      <c r="M146" s="73"/>
      <c r="N146" s="74"/>
    </row>
    <row r="147" spans="1:14" s="38" customFormat="1" ht="15" customHeight="1" thickBot="1" x14ac:dyDescent="0.35">
      <c r="A147" s="9"/>
      <c r="B147" s="10" t="s">
        <v>10</v>
      </c>
      <c r="C147" s="11">
        <f>IFERROR(C146/C145,0)</f>
        <v>0.82981715893108299</v>
      </c>
      <c r="D147" s="11">
        <f>IFERROR(D146/D145,0)</f>
        <v>0.75668073136427572</v>
      </c>
      <c r="E147" s="11">
        <f>IFERROR(E146/E145,0)</f>
        <v>0.75668073136427572</v>
      </c>
      <c r="F147" s="68">
        <f>IFERROR(E147-C147,0)</f>
        <v>-7.3136427566807272E-2</v>
      </c>
      <c r="G147" s="11">
        <f>IFERROR(G146/G145,0)</f>
        <v>0.41786216596343179</v>
      </c>
      <c r="H147" s="68">
        <f>IFERROR(E147-G147,0)</f>
        <v>0.33881856540084393</v>
      </c>
      <c r="I147" s="20">
        <f>IFERROR(E147/C147-1,0)</f>
        <v>-8.8135593220338926E-2</v>
      </c>
      <c r="J147" s="11">
        <f>IFERROR(E147/G147-1,0)</f>
        <v>0.8108381016492765</v>
      </c>
      <c r="K147" s="12">
        <f>IFERROR(K146/K145,0)</f>
        <v>0.75668073136427572</v>
      </c>
      <c r="L147" s="68">
        <f>IFERROR(E147-K147,0)</f>
        <v>0</v>
      </c>
      <c r="M147" s="73"/>
      <c r="N147" s="74"/>
    </row>
    <row r="148" spans="1:14" s="27" customFormat="1" ht="5.0999999999999996" customHeight="1" thickBot="1" x14ac:dyDescent="0.35">
      <c r="A148" s="5"/>
      <c r="B148" s="6"/>
      <c r="C148" s="7"/>
      <c r="D148" s="13"/>
      <c r="E148" s="14"/>
      <c r="F148" s="67"/>
      <c r="G148" s="13"/>
      <c r="H148" s="67"/>
      <c r="I148" s="21"/>
      <c r="J148" s="22"/>
      <c r="K148" s="54"/>
      <c r="L148" s="67"/>
      <c r="M148" s="73"/>
      <c r="N148" s="74"/>
    </row>
    <row r="149" spans="1:14" s="27" customFormat="1" ht="15" customHeight="1" thickBot="1" x14ac:dyDescent="0.35">
      <c r="A149" s="5"/>
      <c r="B149" s="6" t="s">
        <v>11</v>
      </c>
      <c r="C149" s="45">
        <v>8490.5</v>
      </c>
      <c r="D149" s="45">
        <v>8411</v>
      </c>
      <c r="E149" s="46">
        <v>8411</v>
      </c>
      <c r="F149" s="67">
        <f>IFERROR(E149-C149,0)</f>
        <v>-79.5</v>
      </c>
      <c r="G149" s="45">
        <v>4483</v>
      </c>
      <c r="H149" s="67">
        <f>IFERROR(E149-G149,0)</f>
        <v>3928</v>
      </c>
      <c r="I149" s="21"/>
      <c r="J149" s="22"/>
      <c r="K149" s="52">
        <v>8411</v>
      </c>
      <c r="L149" s="67">
        <f>IFERROR(E149-K149,0)</f>
        <v>0</v>
      </c>
      <c r="M149" s="73"/>
      <c r="N149" s="74"/>
    </row>
    <row r="150" spans="1:14" s="27" customFormat="1" ht="15" customHeight="1" thickBot="1" x14ac:dyDescent="0.35">
      <c r="A150" s="5"/>
      <c r="B150" s="6" t="s">
        <v>12</v>
      </c>
      <c r="C150" s="15">
        <f>IFERROR(C149/C146,0)</f>
        <v>1.4390677966101695</v>
      </c>
      <c r="D150" s="15">
        <f>IFERROR(D149/D146,0)</f>
        <v>1.5633828996282528</v>
      </c>
      <c r="E150" s="15">
        <f>IFERROR(E149/E146,0)</f>
        <v>1.5633828996282528</v>
      </c>
      <c r="F150" s="69">
        <f>IFERROR(E150-C150,0)</f>
        <v>0.12431510301808335</v>
      </c>
      <c r="G150" s="15">
        <f>IFERROR(G149/G146,0)</f>
        <v>1.5089195557051498</v>
      </c>
      <c r="H150" s="69">
        <f>IFERROR(E150-G150,0)</f>
        <v>5.4463343923103036E-2</v>
      </c>
      <c r="I150" s="21"/>
      <c r="J150" s="22"/>
      <c r="K150" s="55">
        <f>IFERROR(K149/K146,0)</f>
        <v>1.5633828996282528</v>
      </c>
      <c r="L150" s="69">
        <f>IFERROR(E150-K150,0)</f>
        <v>0</v>
      </c>
      <c r="M150" s="73"/>
      <c r="N150" s="74"/>
    </row>
    <row r="151" spans="1:14" s="27" customFormat="1" ht="5.0999999999999996" customHeight="1" thickBot="1" x14ac:dyDescent="0.35">
      <c r="A151" s="5"/>
      <c r="B151" s="6"/>
      <c r="C151" s="7"/>
      <c r="D151" s="13"/>
      <c r="E151" s="14"/>
      <c r="F151" s="69"/>
      <c r="G151" s="13"/>
      <c r="H151" s="69"/>
      <c r="I151" s="21"/>
      <c r="J151" s="22"/>
      <c r="K151" s="54"/>
      <c r="L151" s="69"/>
      <c r="M151" s="73"/>
      <c r="N151" s="74"/>
    </row>
    <row r="152" spans="1:14" s="27" customFormat="1" ht="15" customHeight="1" thickBot="1" x14ac:dyDescent="0.35">
      <c r="A152" s="5"/>
      <c r="B152" s="6" t="s">
        <v>13</v>
      </c>
      <c r="C152" s="15">
        <f>IFERROR(C141/C146,0)</f>
        <v>135.75762711864408</v>
      </c>
      <c r="D152" s="15">
        <f>IFERROR(D141/D146,0)</f>
        <v>93.881962825278819</v>
      </c>
      <c r="E152" s="15">
        <f>IFERROR(E141/E146,0)</f>
        <v>93.881962825278819</v>
      </c>
      <c r="F152" s="69">
        <f>IFERROR(E152-C152,0)</f>
        <v>-41.875664293365261</v>
      </c>
      <c r="G152" s="15">
        <f>IFERROR(G141/G146,0)</f>
        <v>84.542904745876811</v>
      </c>
      <c r="H152" s="69">
        <f>IFERROR(E152-G152,0)</f>
        <v>9.3390580794020082</v>
      </c>
      <c r="I152" s="21">
        <f>IFERROR(E152/C152-1,0)</f>
        <v>-0.30845901760472305</v>
      </c>
      <c r="J152" s="22">
        <f>IFERROR(E152/G152-1,0)</f>
        <v>0.11046530879763128</v>
      </c>
      <c r="K152" s="55">
        <f>IFERROR(K141/K146,0)</f>
        <v>93.881962825278819</v>
      </c>
      <c r="L152" s="69">
        <f>IFERROR(E152-K152,0)</f>
        <v>0</v>
      </c>
      <c r="M152" s="73"/>
      <c r="N152" s="74"/>
    </row>
    <row r="153" spans="1:14" s="38" customFormat="1" ht="15" customHeight="1" thickBot="1" x14ac:dyDescent="0.35">
      <c r="A153" s="9"/>
      <c r="B153" s="10" t="s">
        <v>14</v>
      </c>
      <c r="C153" s="16">
        <f>IFERROR(C141/C145,0)</f>
        <v>112.65400843881856</v>
      </c>
      <c r="D153" s="16">
        <f>IFERROR(D141/D145,0)</f>
        <v>71.038672292545712</v>
      </c>
      <c r="E153" s="16">
        <f>IFERROR(E141/E145,0)</f>
        <v>71.038672292545712</v>
      </c>
      <c r="F153" s="70">
        <f t="shared" ref="F153:F154" si="58">IFERROR(E153-C153,0)</f>
        <v>-41.615336146272853</v>
      </c>
      <c r="G153" s="16">
        <f>IFERROR(G141/G145,0)</f>
        <v>35.327281293952183</v>
      </c>
      <c r="H153" s="70">
        <f t="shared" ref="H153:H154" si="59">IFERROR(E153-G153,0)</f>
        <v>35.711390998593529</v>
      </c>
      <c r="I153" s="20">
        <f>IFERROR(E153/C153-1,0)</f>
        <v>-0.36940839232430678</v>
      </c>
      <c r="J153" s="11">
        <f>IFERROR(E153/G153-1,0)</f>
        <v>1.0108728917304797</v>
      </c>
      <c r="K153" s="56">
        <f>IFERROR(K141/K145,0)</f>
        <v>71.038672292545712</v>
      </c>
      <c r="L153" s="70">
        <f>IFERROR(E153-K153,0)</f>
        <v>0</v>
      </c>
      <c r="M153" s="73"/>
      <c r="N153" s="74"/>
    </row>
    <row r="154" spans="1:14" ht="15" customHeight="1" thickBot="1" x14ac:dyDescent="0.35">
      <c r="A154" s="17"/>
      <c r="B154" s="18" t="s">
        <v>34</v>
      </c>
      <c r="C154" s="19">
        <f>IFERROR(C140/C146,0)</f>
        <v>160.33727322706025</v>
      </c>
      <c r="D154" s="19">
        <f>IFERROR(D140/D146,0)</f>
        <v>124.57386059479553</v>
      </c>
      <c r="E154" s="19">
        <f>IFERROR(E140/E146,0)</f>
        <v>124.57386059479553</v>
      </c>
      <c r="F154" s="72">
        <f t="shared" si="58"/>
        <v>-35.763412632264718</v>
      </c>
      <c r="G154" s="19">
        <f>IFERROR(G140/G146,0)</f>
        <v>107.94864355435881</v>
      </c>
      <c r="H154" s="72">
        <f t="shared" si="59"/>
        <v>16.625217040436723</v>
      </c>
      <c r="I154" s="25">
        <f>IFERROR(E154/C154-1,0)</f>
        <v>-0.22305114657662084</v>
      </c>
      <c r="J154" s="26">
        <f>IFERROR(E154/G154-1,0)</f>
        <v>0.15401043026598948</v>
      </c>
      <c r="K154" s="57">
        <f>IFERROR(K140/K146,0)</f>
        <v>124.57386059479556</v>
      </c>
      <c r="L154" s="72">
        <f>IFERROR(E154-K154,0)</f>
        <v>-2.8421709430404007E-14</v>
      </c>
      <c r="M154" s="73"/>
      <c r="N154" s="74"/>
    </row>
    <row r="155" spans="1:14" s="27" customFormat="1" ht="15" customHeight="1" thickBot="1" x14ac:dyDescent="0.35">
      <c r="A155" s="1"/>
      <c r="B155" s="2" t="s">
        <v>18</v>
      </c>
      <c r="C155" s="3">
        <f>SUM(C156:C158)</f>
        <v>782856.71958034462</v>
      </c>
      <c r="D155" s="3">
        <f>SUM(D156:D158)</f>
        <v>720999.28</v>
      </c>
      <c r="E155" s="4">
        <f>SUM(E156:E158)</f>
        <v>720999.28</v>
      </c>
      <c r="F155" s="71">
        <f>IFERROR(SUM(F156:F158),0)</f>
        <v>-61857.439580344435</v>
      </c>
      <c r="G155" s="3">
        <f>SUM(G156:G158)</f>
        <v>310698.89999999997</v>
      </c>
      <c r="H155" s="71">
        <f>IFERROR(E155-G155,0)</f>
        <v>410300.38000000006</v>
      </c>
      <c r="I155" s="20">
        <f>IFERROR(E155/C155-1,0)</f>
        <v>-7.9015020288136117E-2</v>
      </c>
      <c r="J155" s="11">
        <f>IFERROR(E155/G155-1,0)</f>
        <v>1.3205723612153122</v>
      </c>
      <c r="K155" s="51">
        <f>SUM(K156:K158)</f>
        <v>720999.28000000014</v>
      </c>
      <c r="L155" s="71">
        <f>IFERROR(SUM(L156:L158),0)</f>
        <v>-2.1827872842550278E-11</v>
      </c>
      <c r="M155" s="73"/>
      <c r="N155" s="74"/>
    </row>
    <row r="156" spans="1:14" s="27" customFormat="1" ht="15" customHeight="1" thickBot="1" x14ac:dyDescent="0.35">
      <c r="A156" s="5"/>
      <c r="B156" s="6" t="s">
        <v>5</v>
      </c>
      <c r="C156" s="45">
        <v>623768.80000000005</v>
      </c>
      <c r="D156" s="45">
        <v>543607.99</v>
      </c>
      <c r="E156" s="45">
        <v>543607.99</v>
      </c>
      <c r="F156" s="67">
        <f>IFERROR(E156-C156,0)</f>
        <v>-80160.810000000056</v>
      </c>
      <c r="G156" s="45">
        <v>203430.1</v>
      </c>
      <c r="H156" s="67">
        <f t="shared" ref="H156:H158" si="60">IFERROR(E156-G156,0)</f>
        <v>340177.89</v>
      </c>
      <c r="I156" s="21">
        <f t="shared" ref="I156:I158" si="61">IFERROR(E156/C156-1,0)</f>
        <v>-0.12851045130824124</v>
      </c>
      <c r="J156" s="22">
        <f t="shared" ref="J156:J158" si="62">IFERROR(E156/G156-1,0)</f>
        <v>1.6722102088137398</v>
      </c>
      <c r="K156" s="52">
        <v>543607.99</v>
      </c>
      <c r="L156" s="67">
        <f>IFERROR(E156-K156,0)</f>
        <v>0</v>
      </c>
      <c r="M156" s="73"/>
      <c r="N156" s="74"/>
    </row>
    <row r="157" spans="1:14" s="27" customFormat="1" ht="15" customHeight="1" thickBot="1" x14ac:dyDescent="0.35">
      <c r="A157" s="5"/>
      <c r="B157" s="6" t="s">
        <v>6</v>
      </c>
      <c r="C157" s="45">
        <v>108366.316219</v>
      </c>
      <c r="D157" s="45">
        <v>136566.2000000001</v>
      </c>
      <c r="E157" s="45">
        <v>136566.2000000001</v>
      </c>
      <c r="F157" s="67">
        <f t="shared" ref="F157:F158" si="63">IFERROR(E157-C157,0)</f>
        <v>28199.883781000099</v>
      </c>
      <c r="G157" s="45">
        <v>63559</v>
      </c>
      <c r="H157" s="67">
        <f t="shared" si="60"/>
        <v>73007.200000000099</v>
      </c>
      <c r="I157" s="21">
        <f t="shared" si="61"/>
        <v>0.26022739136034034</v>
      </c>
      <c r="J157" s="22">
        <f t="shared" si="62"/>
        <v>1.1486524331723298</v>
      </c>
      <c r="K157" s="52">
        <v>136566.20000000013</v>
      </c>
      <c r="L157" s="67">
        <f>IFERROR(E157-K157,0)</f>
        <v>-2.9103830456733704E-11</v>
      </c>
      <c r="M157" s="73"/>
      <c r="N157" s="74"/>
    </row>
    <row r="158" spans="1:14" s="27" customFormat="1" ht="15" customHeight="1" thickBot="1" x14ac:dyDescent="0.35">
      <c r="A158" s="5"/>
      <c r="B158" s="6" t="s">
        <v>7</v>
      </c>
      <c r="C158" s="45">
        <v>50721.603361344503</v>
      </c>
      <c r="D158" s="45">
        <v>40825.090000000026</v>
      </c>
      <c r="E158" s="45">
        <v>40825.090000000026</v>
      </c>
      <c r="F158" s="67">
        <f t="shared" si="63"/>
        <v>-9896.5133613444777</v>
      </c>
      <c r="G158" s="45">
        <v>43709.8</v>
      </c>
      <c r="H158" s="67">
        <f t="shared" si="60"/>
        <v>-2884.7099999999773</v>
      </c>
      <c r="I158" s="21">
        <f t="shared" si="61"/>
        <v>-0.19511436361427648</v>
      </c>
      <c r="J158" s="22">
        <f t="shared" si="62"/>
        <v>-6.5996870267079122E-2</v>
      </c>
      <c r="K158" s="52">
        <v>40825.090000000018</v>
      </c>
      <c r="L158" s="67">
        <f>IFERROR(E158-K158,0)</f>
        <v>7.2759576141834259E-12</v>
      </c>
      <c r="M158" s="73"/>
      <c r="N158" s="74"/>
    </row>
    <row r="159" spans="1:14" s="27" customFormat="1" ht="5.0999999999999996" customHeight="1" thickBot="1" x14ac:dyDescent="0.35">
      <c r="A159" s="5"/>
      <c r="B159" s="6"/>
      <c r="C159" s="7"/>
      <c r="D159" s="7"/>
      <c r="E159" s="8"/>
      <c r="F159" s="67"/>
      <c r="G159" s="7"/>
      <c r="H159" s="67"/>
      <c r="I159" s="21"/>
      <c r="J159" s="21"/>
      <c r="K159" s="53"/>
      <c r="L159" s="67"/>
      <c r="M159" s="73"/>
      <c r="N159" s="74"/>
    </row>
    <row r="160" spans="1:14" s="27" customFormat="1" ht="15" customHeight="1" thickBot="1" x14ac:dyDescent="0.35">
      <c r="A160" s="5"/>
      <c r="B160" s="6" t="s">
        <v>8</v>
      </c>
      <c r="C160" s="45">
        <v>7347</v>
      </c>
      <c r="D160" s="45">
        <v>7347</v>
      </c>
      <c r="E160" s="46">
        <v>7347</v>
      </c>
      <c r="F160" s="67">
        <f>IFERROR(E160-C160,0)</f>
        <v>0</v>
      </c>
      <c r="G160" s="45">
        <v>7347</v>
      </c>
      <c r="H160" s="67">
        <f>IFERROR(E160-G160,0)</f>
        <v>0</v>
      </c>
      <c r="I160" s="23"/>
      <c r="J160" s="24"/>
      <c r="K160" s="52">
        <v>7347</v>
      </c>
      <c r="L160" s="67">
        <f>IFERROR(E160-K160,0)</f>
        <v>0</v>
      </c>
      <c r="M160" s="73"/>
      <c r="N160" s="74"/>
    </row>
    <row r="161" spans="1:14" s="27" customFormat="1" ht="15" customHeight="1" thickBot="1" x14ac:dyDescent="0.35">
      <c r="A161" s="5"/>
      <c r="B161" s="6" t="s">
        <v>9</v>
      </c>
      <c r="C161" s="45">
        <v>6000</v>
      </c>
      <c r="D161" s="45">
        <v>5981</v>
      </c>
      <c r="E161" s="46">
        <v>5981</v>
      </c>
      <c r="F161" s="67">
        <f>IFERROR(E161-C161,0)</f>
        <v>-19</v>
      </c>
      <c r="G161" s="45">
        <v>2415</v>
      </c>
      <c r="H161" s="67">
        <f>IFERROR(E161-G161,0)</f>
        <v>3566</v>
      </c>
      <c r="I161" s="23"/>
      <c r="J161" s="24"/>
      <c r="K161" s="52">
        <v>5981</v>
      </c>
      <c r="L161" s="67">
        <f>IFERROR(E161-K161,0)</f>
        <v>0</v>
      </c>
      <c r="M161" s="73"/>
      <c r="N161" s="74"/>
    </row>
    <row r="162" spans="1:14" s="38" customFormat="1" ht="15" customHeight="1" thickBot="1" x14ac:dyDescent="0.35">
      <c r="A162" s="9"/>
      <c r="B162" s="10" t="s">
        <v>10</v>
      </c>
      <c r="C162" s="11">
        <f>IFERROR(C161/C160,0)</f>
        <v>0.81665986116782363</v>
      </c>
      <c r="D162" s="11">
        <f>IFERROR(D161/D160,0)</f>
        <v>0.81407377160745886</v>
      </c>
      <c r="E162" s="11">
        <f>IFERROR(E161/E160,0)</f>
        <v>0.81407377160745886</v>
      </c>
      <c r="F162" s="68">
        <f>IFERROR(E162-C162,0)</f>
        <v>-2.5860895603647682E-3</v>
      </c>
      <c r="G162" s="11">
        <f>IFERROR(G161/G160,0)</f>
        <v>0.32870559412004902</v>
      </c>
      <c r="H162" s="68">
        <f>IFERROR(E162-G162,0)</f>
        <v>0.48536817748740985</v>
      </c>
      <c r="I162" s="20">
        <f>IFERROR(E162/C162-1,0)</f>
        <v>-3.166666666666651E-3</v>
      </c>
      <c r="J162" s="11">
        <f>IFERROR(E162/G162-1,0)</f>
        <v>1.4766045548654243</v>
      </c>
      <c r="K162" s="12">
        <f>IFERROR(K161/K160,0)</f>
        <v>0.81407377160745886</v>
      </c>
      <c r="L162" s="68">
        <f>IFERROR(E162-K162,0)</f>
        <v>0</v>
      </c>
      <c r="M162" s="73"/>
      <c r="N162" s="74"/>
    </row>
    <row r="163" spans="1:14" s="27" customFormat="1" ht="5.0999999999999996" customHeight="1" thickBot="1" x14ac:dyDescent="0.35">
      <c r="A163" s="5"/>
      <c r="B163" s="6"/>
      <c r="C163" s="7"/>
      <c r="D163" s="13"/>
      <c r="E163" s="14"/>
      <c r="F163" s="67"/>
      <c r="G163" s="13"/>
      <c r="H163" s="67"/>
      <c r="I163" s="21"/>
      <c r="J163" s="22"/>
      <c r="K163" s="54"/>
      <c r="L163" s="67"/>
      <c r="M163" s="73"/>
      <c r="N163" s="74"/>
    </row>
    <row r="164" spans="1:14" s="27" customFormat="1" ht="15" customHeight="1" thickBot="1" x14ac:dyDescent="0.35">
      <c r="A164" s="5"/>
      <c r="B164" s="6" t="s">
        <v>11</v>
      </c>
      <c r="C164" s="45">
        <v>8929.25</v>
      </c>
      <c r="D164" s="45">
        <v>9099</v>
      </c>
      <c r="E164" s="46">
        <v>9099</v>
      </c>
      <c r="F164" s="67">
        <f>IFERROR(E164-C164,0)</f>
        <v>169.75</v>
      </c>
      <c r="G164" s="45">
        <v>3760</v>
      </c>
      <c r="H164" s="67">
        <f>IFERROR(E164-G164,0)</f>
        <v>5339</v>
      </c>
      <c r="I164" s="21"/>
      <c r="J164" s="22"/>
      <c r="K164" s="52">
        <v>9099</v>
      </c>
      <c r="L164" s="67">
        <f>IFERROR(E164-K164,0)</f>
        <v>0</v>
      </c>
      <c r="M164" s="73"/>
      <c r="N164" s="74"/>
    </row>
    <row r="165" spans="1:14" s="27" customFormat="1" ht="15" customHeight="1" thickBot="1" x14ac:dyDescent="0.35">
      <c r="A165" s="5"/>
      <c r="B165" s="6" t="s">
        <v>12</v>
      </c>
      <c r="C165" s="15">
        <f>IFERROR(C164/C161,0)</f>
        <v>1.4882083333333334</v>
      </c>
      <c r="D165" s="15">
        <f>IFERROR(D164/D161,0)</f>
        <v>1.5213175054338739</v>
      </c>
      <c r="E165" s="15">
        <f>IFERROR(E164/E161,0)</f>
        <v>1.5213175054338739</v>
      </c>
      <c r="F165" s="69">
        <f>IFERROR(E165-C165,0)</f>
        <v>3.310917210054054E-2</v>
      </c>
      <c r="G165" s="15">
        <f>IFERROR(G164/G161,0)</f>
        <v>1.5569358178053829</v>
      </c>
      <c r="H165" s="69">
        <f>IFERROR(E165-G165,0)</f>
        <v>-3.5618312371509031E-2</v>
      </c>
      <c r="I165" s="21"/>
      <c r="J165" s="22"/>
      <c r="K165" s="55">
        <f>IFERROR(K164/K161,0)</f>
        <v>1.5213175054338739</v>
      </c>
      <c r="L165" s="69">
        <f>IFERROR(E165-K165,0)</f>
        <v>0</v>
      </c>
      <c r="M165" s="73"/>
      <c r="N165" s="74"/>
    </row>
    <row r="166" spans="1:14" s="27" customFormat="1" ht="5.0999999999999996" customHeight="1" thickBot="1" x14ac:dyDescent="0.35">
      <c r="A166" s="5"/>
      <c r="B166" s="6"/>
      <c r="C166" s="7"/>
      <c r="D166" s="13"/>
      <c r="E166" s="14"/>
      <c r="F166" s="69"/>
      <c r="G166" s="13"/>
      <c r="H166" s="69"/>
      <c r="I166" s="21"/>
      <c r="J166" s="22"/>
      <c r="K166" s="54"/>
      <c r="L166" s="69"/>
      <c r="M166" s="73"/>
      <c r="N166" s="74"/>
    </row>
    <row r="167" spans="1:14" s="27" customFormat="1" ht="15" customHeight="1" thickBot="1" x14ac:dyDescent="0.35">
      <c r="A167" s="5"/>
      <c r="B167" s="6" t="s">
        <v>13</v>
      </c>
      <c r="C167" s="15">
        <f>IFERROR(C156/C161,0)</f>
        <v>103.96146666666668</v>
      </c>
      <c r="D167" s="15">
        <f>IFERROR(D156/D161,0)</f>
        <v>90.88914729978265</v>
      </c>
      <c r="E167" s="15">
        <f>IFERROR(E156/E161,0)</f>
        <v>90.88914729978265</v>
      </c>
      <c r="F167" s="69">
        <f>IFERROR(E167-C167,0)</f>
        <v>-13.072319366884031</v>
      </c>
      <c r="G167" s="15">
        <f>IFERROR(G156/G161,0)</f>
        <v>84.236066252587989</v>
      </c>
      <c r="H167" s="69">
        <f>IFERROR(E167-G167,0)</f>
        <v>6.6530810471946609</v>
      </c>
      <c r="I167" s="21">
        <f>IFERROR(E167/C167-1,0)</f>
        <v>-0.12574196753878064</v>
      </c>
      <c r="J167" s="22">
        <f>IFERROR(E167/G167-1,0)</f>
        <v>7.8981383428387009E-2</v>
      </c>
      <c r="K167" s="55">
        <f>IFERROR(K156/K161,0)</f>
        <v>90.88914729978265</v>
      </c>
      <c r="L167" s="69">
        <f>IFERROR(E167-K167,0)</f>
        <v>0</v>
      </c>
      <c r="M167" s="73"/>
      <c r="N167" s="74"/>
    </row>
    <row r="168" spans="1:14" s="38" customFormat="1" ht="15" customHeight="1" thickBot="1" x14ac:dyDescent="0.35">
      <c r="A168" s="9"/>
      <c r="B168" s="10" t="s">
        <v>14</v>
      </c>
      <c r="C168" s="16">
        <f>IFERROR(C156/C160,0)</f>
        <v>84.901156934803325</v>
      </c>
      <c r="D168" s="16">
        <f>IFERROR(D156/D160,0)</f>
        <v>73.990470940519941</v>
      </c>
      <c r="E168" s="16">
        <f>IFERROR(E156/E160,0)</f>
        <v>73.990470940519941</v>
      </c>
      <c r="F168" s="70">
        <f t="shared" ref="F168:F169" si="64">IFERROR(E168-C168,0)</f>
        <v>-10.910685994283384</v>
      </c>
      <c r="G168" s="16">
        <f>IFERROR(G156/G160,0)</f>
        <v>27.688866203892747</v>
      </c>
      <c r="H168" s="70">
        <f t="shared" ref="H168:H169" si="65">IFERROR(E168-G168,0)</f>
        <v>46.301604736627198</v>
      </c>
      <c r="I168" s="20">
        <f>IFERROR(E168/C168-1,0)</f>
        <v>-0.12851045130824112</v>
      </c>
      <c r="J168" s="11">
        <f>IFERROR(E168/G168-1,0)</f>
        <v>1.6722102088137398</v>
      </c>
      <c r="K168" s="56">
        <f>IFERROR(K156/K160,0)</f>
        <v>73.990470940519941</v>
      </c>
      <c r="L168" s="70">
        <f>IFERROR(E168-K168,0)</f>
        <v>0</v>
      </c>
      <c r="M168" s="73"/>
      <c r="N168" s="74"/>
    </row>
    <row r="169" spans="1:14" ht="15" customHeight="1" thickBot="1" x14ac:dyDescent="0.35">
      <c r="A169" s="17"/>
      <c r="B169" s="18" t="s">
        <v>34</v>
      </c>
      <c r="C169" s="19">
        <f>IFERROR(C155/C161,0)</f>
        <v>130.47611993005745</v>
      </c>
      <c r="D169" s="19">
        <f>IFERROR(D155/D161,0)</f>
        <v>120.54828289583682</v>
      </c>
      <c r="E169" s="19">
        <f>IFERROR(E155/E161,0)</f>
        <v>120.54828289583682</v>
      </c>
      <c r="F169" s="72">
        <f t="shared" si="64"/>
        <v>-9.9278370342206301</v>
      </c>
      <c r="G169" s="19">
        <f>IFERROR(G155/G161,0)</f>
        <v>128.65378881987576</v>
      </c>
      <c r="H169" s="72">
        <f t="shared" si="65"/>
        <v>-8.1055059240389369</v>
      </c>
      <c r="I169" s="25">
        <f>IFERROR(E169/C169-1,0)</f>
        <v>-7.6089303081226745E-2</v>
      </c>
      <c r="J169" s="26">
        <f>IFERROR(E169/G169-1,0)</f>
        <v>-6.3002465752386105E-2</v>
      </c>
      <c r="K169" s="57">
        <f>IFERROR(K155/K161,0)</f>
        <v>120.54828289583683</v>
      </c>
      <c r="L169" s="72">
        <f>IFERROR(E169-K169,0)</f>
        <v>-1.4210854715202004E-14</v>
      </c>
      <c r="M169" s="73"/>
      <c r="N169" s="74"/>
    </row>
    <row r="170" spans="1:14" s="27" customFormat="1" ht="15" customHeight="1" thickBot="1" x14ac:dyDescent="0.35">
      <c r="A170" s="1"/>
      <c r="B170" s="2" t="s">
        <v>19</v>
      </c>
      <c r="C170" s="3">
        <f>SUM(C171:C173)</f>
        <v>751300.5291803109</v>
      </c>
      <c r="D170" s="3">
        <f>SUM(D171:D173)</f>
        <v>532965.89136103098</v>
      </c>
      <c r="E170" s="4">
        <f>SUM(E171:E173)</f>
        <v>547468.68163551402</v>
      </c>
      <c r="F170" s="71">
        <f>IFERROR(SUM(F171:F173),0)</f>
        <v>-203831.84754479685</v>
      </c>
      <c r="G170" s="3">
        <f>SUM(G171:G173)</f>
        <v>23.490000000000009</v>
      </c>
      <c r="H170" s="71">
        <f>IFERROR(E170-G170,0)</f>
        <v>547445.19163551403</v>
      </c>
      <c r="I170" s="20">
        <f>IFERROR(E170/C170-1,0)</f>
        <v>-0.27130534270644391</v>
      </c>
      <c r="J170" s="11">
        <f>IFERROR(E170/G170-1,0)</f>
        <v>23305.457285462486</v>
      </c>
      <c r="K170" s="51">
        <f>SUM(K171:K173)</f>
        <v>538743.64652217808</v>
      </c>
      <c r="L170" s="71">
        <f>IFERROR(SUM(L171:L173),0)</f>
        <v>8725.03511333598</v>
      </c>
      <c r="M170" s="73"/>
      <c r="N170" s="74"/>
    </row>
    <row r="171" spans="1:14" s="27" customFormat="1" ht="15" customHeight="1" thickBot="1" x14ac:dyDescent="0.35">
      <c r="A171" s="5"/>
      <c r="B171" s="6" t="s">
        <v>5</v>
      </c>
      <c r="C171" s="45">
        <v>584769.09499999997</v>
      </c>
      <c r="D171" s="45">
        <v>363998.25916908786</v>
      </c>
      <c r="E171" s="45">
        <v>366997.47763551405</v>
      </c>
      <c r="F171" s="67">
        <f>IFERROR(E171-C171,0)</f>
        <v>-217771.61736448592</v>
      </c>
      <c r="G171" s="45">
        <v>-197.97</v>
      </c>
      <c r="H171" s="67">
        <f t="shared" ref="H171:H173" si="66">IFERROR(E171-G171,0)</f>
        <v>367195.44763551402</v>
      </c>
      <c r="I171" s="21">
        <f t="shared" ref="I171:I173" si="67">IFERROR(E171/C171-1,0)</f>
        <v>-0.37240616719747466</v>
      </c>
      <c r="J171" s="22">
        <f t="shared" ref="J171:J173" si="68">IFERROR(E171/G171-1,0)</f>
        <v>-1854.8034936379959</v>
      </c>
      <c r="K171" s="52">
        <v>393320.20900000003</v>
      </c>
      <c r="L171" s="67">
        <f>IFERROR(E171-K171,0)</f>
        <v>-26322.731364485982</v>
      </c>
      <c r="M171" s="73"/>
      <c r="N171" s="74"/>
    </row>
    <row r="172" spans="1:14" s="27" customFormat="1" ht="15" customHeight="1" thickBot="1" x14ac:dyDescent="0.35">
      <c r="A172" s="5"/>
      <c r="B172" s="6" t="s">
        <v>6</v>
      </c>
      <c r="C172" s="45">
        <v>109129.835903</v>
      </c>
      <c r="D172" s="45">
        <v>96899.47514332924</v>
      </c>
      <c r="E172" s="45">
        <v>103718.1915</v>
      </c>
      <c r="F172" s="67">
        <f t="shared" ref="F172:F173" si="69">IFERROR(E172-C172,0)</f>
        <v>-5411.6444029999984</v>
      </c>
      <c r="G172" s="45">
        <v>80</v>
      </c>
      <c r="H172" s="67">
        <f t="shared" si="66"/>
        <v>103638.1915</v>
      </c>
      <c r="I172" s="21">
        <f t="shared" si="67"/>
        <v>-4.9589045545804122E-2</v>
      </c>
      <c r="J172" s="22">
        <f t="shared" si="68"/>
        <v>1295.4773937499999</v>
      </c>
      <c r="K172" s="52">
        <v>102250.32752217803</v>
      </c>
      <c r="L172" s="67">
        <f>IFERROR(E172-K172,0)</f>
        <v>1467.8639778219658</v>
      </c>
      <c r="M172" s="73"/>
      <c r="N172" s="74"/>
    </row>
    <row r="173" spans="1:14" s="27" customFormat="1" ht="15" customHeight="1" thickBot="1" x14ac:dyDescent="0.35">
      <c r="A173" s="5"/>
      <c r="B173" s="6" t="s">
        <v>7</v>
      </c>
      <c r="C173" s="45">
        <v>57401.598277310914</v>
      </c>
      <c r="D173" s="45">
        <v>72068.15704861391</v>
      </c>
      <c r="E173" s="45">
        <v>76753.012499999997</v>
      </c>
      <c r="F173" s="67">
        <f t="shared" si="69"/>
        <v>19351.414222689084</v>
      </c>
      <c r="G173" s="45">
        <v>141.46</v>
      </c>
      <c r="H173" s="67">
        <f t="shared" si="66"/>
        <v>76611.552499999991</v>
      </c>
      <c r="I173" s="21">
        <f t="shared" si="67"/>
        <v>0.33712326491679079</v>
      </c>
      <c r="J173" s="22">
        <f t="shared" si="68"/>
        <v>541.57749540506143</v>
      </c>
      <c r="K173" s="52">
        <v>43173.11</v>
      </c>
      <c r="L173" s="67">
        <f>IFERROR(E173-K173,0)</f>
        <v>33579.902499999997</v>
      </c>
      <c r="M173" s="73"/>
      <c r="N173" s="74"/>
    </row>
    <row r="174" spans="1:14" s="27" customFormat="1" ht="5.0999999999999996" customHeight="1" thickBot="1" x14ac:dyDescent="0.35">
      <c r="A174" s="5"/>
      <c r="B174" s="6"/>
      <c r="C174" s="7"/>
      <c r="D174" s="7"/>
      <c r="E174" s="8"/>
      <c r="F174" s="67"/>
      <c r="G174" s="7"/>
      <c r="H174" s="67"/>
      <c r="I174" s="21"/>
      <c r="J174" s="21"/>
      <c r="K174" s="53"/>
      <c r="L174" s="67"/>
      <c r="M174" s="73"/>
      <c r="N174" s="74"/>
    </row>
    <row r="175" spans="1:14" s="27" customFormat="1" ht="15" customHeight="1" thickBot="1" x14ac:dyDescent="0.35">
      <c r="A175" s="5"/>
      <c r="B175" s="6" t="s">
        <v>8</v>
      </c>
      <c r="C175" s="45">
        <v>7110</v>
      </c>
      <c r="D175" s="45">
        <v>7110</v>
      </c>
      <c r="E175" s="46">
        <v>7110</v>
      </c>
      <c r="F175" s="67">
        <f>IFERROR(E175-C175,0)</f>
        <v>0</v>
      </c>
      <c r="G175" s="45">
        <v>7110</v>
      </c>
      <c r="H175" s="67">
        <f>IFERROR(E175-G175,0)</f>
        <v>0</v>
      </c>
      <c r="I175" s="23"/>
      <c r="J175" s="24"/>
      <c r="K175" s="52">
        <v>7110</v>
      </c>
      <c r="L175" s="67">
        <f>IFERROR(E175-K175,0)</f>
        <v>0</v>
      </c>
      <c r="M175" s="73"/>
      <c r="N175" s="74"/>
    </row>
    <row r="176" spans="1:14" s="27" customFormat="1" ht="15" customHeight="1" thickBot="1" x14ac:dyDescent="0.35">
      <c r="A176" s="5"/>
      <c r="B176" s="6" t="s">
        <v>9</v>
      </c>
      <c r="C176" s="45">
        <v>5850</v>
      </c>
      <c r="D176" s="45">
        <v>3845</v>
      </c>
      <c r="E176" s="46">
        <v>3875</v>
      </c>
      <c r="F176" s="67">
        <f>IFERROR(E176-C176,0)</f>
        <v>-1975</v>
      </c>
      <c r="G176" s="45">
        <v>0</v>
      </c>
      <c r="H176" s="67">
        <f>IFERROR(E176-G176,0)</f>
        <v>3875</v>
      </c>
      <c r="I176" s="23"/>
      <c r="J176" s="24"/>
      <c r="K176" s="52">
        <v>4100</v>
      </c>
      <c r="L176" s="67">
        <f>IFERROR(E176-K176,0)</f>
        <v>-225</v>
      </c>
      <c r="M176" s="73"/>
      <c r="N176" s="74"/>
    </row>
    <row r="177" spans="1:14" s="38" customFormat="1" ht="15" customHeight="1" thickBot="1" x14ac:dyDescent="0.35">
      <c r="A177" s="9"/>
      <c r="B177" s="10" t="s">
        <v>10</v>
      </c>
      <c r="C177" s="11">
        <f>IFERROR(C176/C175,0)</f>
        <v>0.82278481012658233</v>
      </c>
      <c r="D177" s="11">
        <f>IFERROR(D176/D175,0)</f>
        <v>0.54078762306610406</v>
      </c>
      <c r="E177" s="11">
        <f>IFERROR(E176/E175,0)</f>
        <v>0.54500703234880454</v>
      </c>
      <c r="F177" s="68">
        <f>IFERROR(E177-C177,0)</f>
        <v>-0.27777777777777779</v>
      </c>
      <c r="G177" s="11">
        <f>IFERROR(G176/G175,0)</f>
        <v>0</v>
      </c>
      <c r="H177" s="68">
        <f>IFERROR(E177-G177,0)</f>
        <v>0.54500703234880454</v>
      </c>
      <c r="I177" s="20">
        <f>IFERROR(E177/C177-1,0)</f>
        <v>-0.33760683760683763</v>
      </c>
      <c r="J177" s="11">
        <f>IFERROR(E177/G177-1,0)</f>
        <v>0</v>
      </c>
      <c r="K177" s="12">
        <f>IFERROR(K176/K175,0)</f>
        <v>0.57665260196905765</v>
      </c>
      <c r="L177" s="68">
        <f>IFERROR(E177-K177,0)</f>
        <v>-3.1645569620253111E-2</v>
      </c>
      <c r="M177" s="73"/>
      <c r="N177" s="74"/>
    </row>
    <row r="178" spans="1:14" s="27" customFormat="1" ht="5.0999999999999996" customHeight="1" thickBot="1" x14ac:dyDescent="0.35">
      <c r="A178" s="5"/>
      <c r="B178" s="6"/>
      <c r="C178" s="7"/>
      <c r="D178" s="13"/>
      <c r="E178" s="14"/>
      <c r="F178" s="67"/>
      <c r="G178" s="13"/>
      <c r="H178" s="67"/>
      <c r="I178" s="21"/>
      <c r="J178" s="22"/>
      <c r="K178" s="54"/>
      <c r="L178" s="67"/>
      <c r="M178" s="73"/>
      <c r="N178" s="74"/>
    </row>
    <row r="179" spans="1:14" s="27" customFormat="1" ht="15" customHeight="1" thickBot="1" x14ac:dyDescent="0.35">
      <c r="A179" s="5"/>
      <c r="B179" s="6" t="s">
        <v>11</v>
      </c>
      <c r="C179" s="45">
        <v>8172.5</v>
      </c>
      <c r="D179" s="45">
        <v>5737</v>
      </c>
      <c r="E179" s="46">
        <v>5646.05</v>
      </c>
      <c r="F179" s="67">
        <f>IFERROR(E179-C179,0)</f>
        <v>-2526.4499999999998</v>
      </c>
      <c r="G179" s="45">
        <v>0</v>
      </c>
      <c r="H179" s="67">
        <f>IFERROR(E179-G179,0)</f>
        <v>5646.05</v>
      </c>
      <c r="I179" s="21"/>
      <c r="J179" s="22"/>
      <c r="K179" s="52">
        <v>5956.42</v>
      </c>
      <c r="L179" s="67">
        <f>IFERROR(E179-K179,0)</f>
        <v>-310.36999999999989</v>
      </c>
      <c r="M179" s="73"/>
      <c r="N179" s="74"/>
    </row>
    <row r="180" spans="1:14" s="27" customFormat="1" ht="15" customHeight="1" thickBot="1" x14ac:dyDescent="0.35">
      <c r="A180" s="5"/>
      <c r="B180" s="6" t="s">
        <v>12</v>
      </c>
      <c r="C180" s="15">
        <f>IFERROR(C179/C176,0)</f>
        <v>1.3970085470085469</v>
      </c>
      <c r="D180" s="15">
        <f>IFERROR(D179/D176,0)</f>
        <v>1.4920676202860859</v>
      </c>
      <c r="E180" s="15">
        <f>IFERROR(E179/E176,0)</f>
        <v>1.4570451612903226</v>
      </c>
      <c r="F180" s="69">
        <f>IFERROR(E180-C180,0)</f>
        <v>6.0036614281775647E-2</v>
      </c>
      <c r="G180" s="15">
        <f>IFERROR(G179/G176,0)</f>
        <v>0</v>
      </c>
      <c r="H180" s="69">
        <f>IFERROR(E180-G180,0)</f>
        <v>1.4570451612903226</v>
      </c>
      <c r="I180" s="21"/>
      <c r="J180" s="22"/>
      <c r="K180" s="55">
        <f>IFERROR(K179/K176,0)</f>
        <v>1.4527853658536585</v>
      </c>
      <c r="L180" s="69">
        <f>IFERROR(E180-K180,0)</f>
        <v>4.2597954366641044E-3</v>
      </c>
      <c r="M180" s="73"/>
      <c r="N180" s="74"/>
    </row>
    <row r="181" spans="1:14" s="27" customFormat="1" ht="5.0999999999999996" customHeight="1" thickBot="1" x14ac:dyDescent="0.35">
      <c r="A181" s="5"/>
      <c r="B181" s="6"/>
      <c r="C181" s="7"/>
      <c r="D181" s="13"/>
      <c r="E181" s="14"/>
      <c r="F181" s="69"/>
      <c r="G181" s="13"/>
      <c r="H181" s="69"/>
      <c r="I181" s="21"/>
      <c r="J181" s="22"/>
      <c r="K181" s="54"/>
      <c r="L181" s="69"/>
      <c r="M181" s="73"/>
      <c r="N181" s="74"/>
    </row>
    <row r="182" spans="1:14" s="27" customFormat="1" ht="15" customHeight="1" thickBot="1" x14ac:dyDescent="0.35">
      <c r="A182" s="5"/>
      <c r="B182" s="6" t="s">
        <v>13</v>
      </c>
      <c r="C182" s="15">
        <f>IFERROR(C171/C176,0)</f>
        <v>99.960529059829057</v>
      </c>
      <c r="D182" s="15">
        <f>IFERROR(D171/D176,0)</f>
        <v>94.667947768293331</v>
      </c>
      <c r="E182" s="15">
        <f>IFERROR(E171/E176,0)</f>
        <v>94.709026486584264</v>
      </c>
      <c r="F182" s="69">
        <f>IFERROR(E182-C182,0)</f>
        <v>-5.2515025732447924</v>
      </c>
      <c r="G182" s="15">
        <f>IFERROR(G171/G176,0)</f>
        <v>0</v>
      </c>
      <c r="H182" s="69">
        <f>IFERROR(E182-G182,0)</f>
        <v>94.709026486584264</v>
      </c>
      <c r="I182" s="21">
        <f>IFERROR(E182/C182-1,0)</f>
        <v>-5.2535762091671434E-2</v>
      </c>
      <c r="J182" s="22">
        <f>IFERROR(E182/G182-1,0)</f>
        <v>0</v>
      </c>
      <c r="K182" s="55">
        <f>IFERROR(K171/K176,0)</f>
        <v>95.931758292682929</v>
      </c>
      <c r="L182" s="69">
        <f>IFERROR(E182-K182,0)</f>
        <v>-1.2227318060986647</v>
      </c>
      <c r="M182" s="73"/>
      <c r="N182" s="74"/>
    </row>
    <row r="183" spans="1:14" s="38" customFormat="1" ht="15" customHeight="1" thickBot="1" x14ac:dyDescent="0.35">
      <c r="A183" s="9"/>
      <c r="B183" s="10" t="s">
        <v>14</v>
      </c>
      <c r="C183" s="16">
        <f>IFERROR(C171/C175,0)</f>
        <v>82.246004922644161</v>
      </c>
      <c r="D183" s="16">
        <f>IFERROR(D171/D175,0)</f>
        <v>51.195254454161443</v>
      </c>
      <c r="E183" s="16">
        <f>IFERROR(E171/E175,0)</f>
        <v>51.617085462097613</v>
      </c>
      <c r="F183" s="70">
        <f t="shared" ref="F183:F184" si="70">IFERROR(E183-C183,0)</f>
        <v>-30.628919460546548</v>
      </c>
      <c r="G183" s="16">
        <f>IFERROR(G171/G175,0)</f>
        <v>-2.7843881856540083E-2</v>
      </c>
      <c r="H183" s="70">
        <f t="shared" ref="H183:H184" si="71">IFERROR(E183-G183,0)</f>
        <v>51.644929343954153</v>
      </c>
      <c r="I183" s="20">
        <f>IFERROR(E183/C183-1,0)</f>
        <v>-0.37240616719747466</v>
      </c>
      <c r="J183" s="11">
        <f>IFERROR(E183/G183-1,0)</f>
        <v>-1854.8034936379959</v>
      </c>
      <c r="K183" s="56">
        <f>IFERROR(K171/K175,0)</f>
        <v>55.319298030942342</v>
      </c>
      <c r="L183" s="70">
        <f>IFERROR(E183-K183,0)</f>
        <v>-3.7022125688447289</v>
      </c>
      <c r="M183" s="73"/>
      <c r="N183" s="74"/>
    </row>
    <row r="184" spans="1:14" ht="15" customHeight="1" thickBot="1" x14ac:dyDescent="0.35">
      <c r="A184" s="17"/>
      <c r="B184" s="18" t="s">
        <v>34</v>
      </c>
      <c r="C184" s="19">
        <f>IFERROR(C170/C176,0)</f>
        <v>128.42744088552323</v>
      </c>
      <c r="D184" s="19">
        <f>IFERROR(D170/D176,0)</f>
        <v>138.61271556853862</v>
      </c>
      <c r="E184" s="19">
        <f>IFERROR(E170/E176,0)</f>
        <v>141.28224042206813</v>
      </c>
      <c r="F184" s="72">
        <f t="shared" si="70"/>
        <v>12.854799536544903</v>
      </c>
      <c r="G184" s="19">
        <f>IFERROR(G170/G176,0)</f>
        <v>0</v>
      </c>
      <c r="H184" s="72">
        <f t="shared" si="71"/>
        <v>141.28224042206813</v>
      </c>
      <c r="I184" s="25">
        <f>IFERROR(E184/C184-1,0)</f>
        <v>0.10009386972059442</v>
      </c>
      <c r="J184" s="26">
        <f>IFERROR(E184/G184-1,0)</f>
        <v>0</v>
      </c>
      <c r="K184" s="57">
        <f>IFERROR(K170/K176,0)</f>
        <v>131.40088939565319</v>
      </c>
      <c r="L184" s="72">
        <f>IFERROR(E184-K184,0)</f>
        <v>9.8813510264149329</v>
      </c>
      <c r="M184" s="73"/>
      <c r="N184" s="74"/>
    </row>
    <row r="185" spans="1:14" s="27" customFormat="1" ht="15" customHeight="1" thickBot="1" x14ac:dyDescent="0.35">
      <c r="A185" s="1"/>
      <c r="B185" s="2" t="s">
        <v>20</v>
      </c>
      <c r="C185" s="3">
        <f>SUM(C186:C188)</f>
        <v>651833.70049786556</v>
      </c>
      <c r="D185" s="3">
        <f>SUM(D186:D188)</f>
        <v>213305.89730097639</v>
      </c>
      <c r="E185" s="4">
        <f>SUM(E186:E188)</f>
        <v>272609.85353896098</v>
      </c>
      <c r="F185" s="71">
        <f>IFERROR(SUM(F186:F188),0)</f>
        <v>-379223.84695890459</v>
      </c>
      <c r="G185" s="3">
        <f>SUM(G186:G188)</f>
        <v>1969.59</v>
      </c>
      <c r="H185" s="71">
        <f>IFERROR(E185-G185,0)</f>
        <v>270640.26353896095</v>
      </c>
      <c r="I185" s="20">
        <f>IFERROR(E185/C185-1,0)</f>
        <v>-0.58178005627701723</v>
      </c>
      <c r="J185" s="11">
        <f>IFERROR(E185/G185-1,0)</f>
        <v>137.40944234026421</v>
      </c>
      <c r="K185" s="51">
        <f>SUM(K186:K188)</f>
        <v>539782.7743066285</v>
      </c>
      <c r="L185" s="71">
        <f>IFERROR(SUM(L186:L188),0)</f>
        <v>-267172.92076766741</v>
      </c>
      <c r="M185" s="73"/>
      <c r="N185" s="74"/>
    </row>
    <row r="186" spans="1:14" s="27" customFormat="1" ht="15" customHeight="1" thickBot="1" x14ac:dyDescent="0.35">
      <c r="A186" s="5"/>
      <c r="B186" s="6" t="s">
        <v>5</v>
      </c>
      <c r="C186" s="45">
        <v>530013.79500000004</v>
      </c>
      <c r="D186" s="45">
        <v>201247.91410769909</v>
      </c>
      <c r="E186" s="45">
        <v>218405.03999999998</v>
      </c>
      <c r="F186" s="67">
        <f>IFERROR(E186-C186,0)</f>
        <v>-311608.75500000006</v>
      </c>
      <c r="G186" s="45">
        <v>0</v>
      </c>
      <c r="H186" s="67">
        <f t="shared" ref="H186:H188" si="72">IFERROR(E186-G186,0)</f>
        <v>218405.03999999998</v>
      </c>
      <c r="I186" s="21">
        <f t="shared" ref="I186:I188" si="73">IFERROR(E186/C186-1,0)</f>
        <v>-0.58792574446104751</v>
      </c>
      <c r="J186" s="22">
        <f t="shared" ref="J186:J188" si="74">IFERROR(E186/G186-1,0)</f>
        <v>0</v>
      </c>
      <c r="K186" s="52">
        <v>410767.5</v>
      </c>
      <c r="L186" s="67">
        <f>IFERROR(E186-K186,0)</f>
        <v>-192362.46000000002</v>
      </c>
      <c r="M186" s="73"/>
      <c r="N186" s="74"/>
    </row>
    <row r="187" spans="1:14" s="27" customFormat="1" ht="15" customHeight="1" thickBot="1" x14ac:dyDescent="0.35">
      <c r="A187" s="5"/>
      <c r="B187" s="6" t="s">
        <v>6</v>
      </c>
      <c r="C187" s="45">
        <v>87540.905834000005</v>
      </c>
      <c r="D187" s="45">
        <v>3737.8151260504201</v>
      </c>
      <c r="E187" s="45">
        <v>44540.081038961041</v>
      </c>
      <c r="F187" s="67">
        <f t="shared" ref="F187:F188" si="75">IFERROR(E187-C187,0)</f>
        <v>-43000.824795038963</v>
      </c>
      <c r="G187" s="45">
        <v>0</v>
      </c>
      <c r="H187" s="67">
        <f t="shared" si="72"/>
        <v>44540.081038961041</v>
      </c>
      <c r="I187" s="21">
        <f t="shared" si="73"/>
        <v>-0.49120836008459345</v>
      </c>
      <c r="J187" s="22">
        <f t="shared" si="74"/>
        <v>0</v>
      </c>
      <c r="K187" s="52">
        <v>98713.91930662845</v>
      </c>
      <c r="L187" s="67">
        <f>IFERROR(E187-K187,0)</f>
        <v>-54173.838267667408</v>
      </c>
      <c r="M187" s="73"/>
      <c r="N187" s="74"/>
    </row>
    <row r="188" spans="1:14" s="27" customFormat="1" ht="15" customHeight="1" thickBot="1" x14ac:dyDescent="0.35">
      <c r="A188" s="5"/>
      <c r="B188" s="6" t="s">
        <v>7</v>
      </c>
      <c r="C188" s="45">
        <v>34278.999663865558</v>
      </c>
      <c r="D188" s="45">
        <v>8320.1680672268903</v>
      </c>
      <c r="E188" s="45">
        <v>9664.7325000000019</v>
      </c>
      <c r="F188" s="67">
        <f t="shared" si="75"/>
        <v>-24614.267163865556</v>
      </c>
      <c r="G188" s="45">
        <v>1969.59</v>
      </c>
      <c r="H188" s="67">
        <f t="shared" si="72"/>
        <v>7695.1425000000017</v>
      </c>
      <c r="I188" s="21">
        <f t="shared" si="73"/>
        <v>-0.71805675209980335</v>
      </c>
      <c r="J188" s="22">
        <f t="shared" si="74"/>
        <v>3.906976832741841</v>
      </c>
      <c r="K188" s="52">
        <v>30301.355</v>
      </c>
      <c r="L188" s="67">
        <f>IFERROR(E188-K188,0)</f>
        <v>-20636.622499999998</v>
      </c>
      <c r="M188" s="73"/>
      <c r="N188" s="74"/>
    </row>
    <row r="189" spans="1:14" s="27" customFormat="1" ht="5.0999999999999996" customHeight="1" thickBot="1" x14ac:dyDescent="0.35">
      <c r="A189" s="5"/>
      <c r="B189" s="6"/>
      <c r="C189" s="7"/>
      <c r="D189" s="7"/>
      <c r="E189" s="8"/>
      <c r="F189" s="67"/>
      <c r="G189" s="7"/>
      <c r="H189" s="67"/>
      <c r="I189" s="21"/>
      <c r="J189" s="21"/>
      <c r="K189" s="53"/>
      <c r="L189" s="67"/>
      <c r="M189" s="73"/>
      <c r="N189" s="74"/>
    </row>
    <row r="190" spans="1:14" s="27" customFormat="1" ht="15" customHeight="1" thickBot="1" x14ac:dyDescent="0.35">
      <c r="A190" s="5"/>
      <c r="B190" s="6" t="s">
        <v>8</v>
      </c>
      <c r="C190" s="45">
        <v>7347</v>
      </c>
      <c r="D190" s="45">
        <v>7347</v>
      </c>
      <c r="E190" s="46">
        <v>7347</v>
      </c>
      <c r="F190" s="67">
        <f>IFERROR(E190-C190,0)</f>
        <v>0</v>
      </c>
      <c r="G190" s="45">
        <v>7347</v>
      </c>
      <c r="H190" s="67">
        <f>IFERROR(E190-G190,0)</f>
        <v>0</v>
      </c>
      <c r="I190" s="23"/>
      <c r="J190" s="24"/>
      <c r="K190" s="52">
        <v>7347</v>
      </c>
      <c r="L190" s="67">
        <f>IFERROR(E190-K190,0)</f>
        <v>0</v>
      </c>
      <c r="M190" s="73"/>
      <c r="N190" s="74"/>
    </row>
    <row r="191" spans="1:14" s="27" customFormat="1" ht="15" customHeight="1" thickBot="1" x14ac:dyDescent="0.35">
      <c r="A191" s="5"/>
      <c r="B191" s="6" t="s">
        <v>9</v>
      </c>
      <c r="C191" s="45">
        <v>5350</v>
      </c>
      <c r="D191" s="45">
        <v>1999</v>
      </c>
      <c r="E191" s="46">
        <v>2225</v>
      </c>
      <c r="F191" s="67">
        <f>IFERROR(E191-C191,0)</f>
        <v>-3125</v>
      </c>
      <c r="G191" s="45">
        <v>0</v>
      </c>
      <c r="H191" s="67">
        <f>IFERROR(E191-G191,0)</f>
        <v>2225</v>
      </c>
      <c r="I191" s="23"/>
      <c r="J191" s="24"/>
      <c r="K191" s="52">
        <v>4150</v>
      </c>
      <c r="L191" s="67">
        <f>IFERROR(E191-K191,0)</f>
        <v>-1925</v>
      </c>
      <c r="M191" s="73"/>
      <c r="N191" s="74"/>
    </row>
    <row r="192" spans="1:14" s="38" customFormat="1" ht="15" customHeight="1" thickBot="1" x14ac:dyDescent="0.35">
      <c r="A192" s="9"/>
      <c r="B192" s="10" t="s">
        <v>10</v>
      </c>
      <c r="C192" s="11">
        <f>IFERROR(C191/C190,0)</f>
        <v>0.72818837620797605</v>
      </c>
      <c r="D192" s="11">
        <f>IFERROR(D191/D190,0)</f>
        <v>0.27208384374574657</v>
      </c>
      <c r="E192" s="11">
        <f>IFERROR(E191/E190,0)</f>
        <v>0.30284469851640128</v>
      </c>
      <c r="F192" s="68">
        <f>IFERROR(E192-C192,0)</f>
        <v>-0.42534367769157477</v>
      </c>
      <c r="G192" s="11">
        <f>IFERROR(G191/G190,0)</f>
        <v>0</v>
      </c>
      <c r="H192" s="68">
        <f>IFERROR(E192-G192,0)</f>
        <v>0.30284469851640128</v>
      </c>
      <c r="I192" s="20">
        <f>IFERROR(E192/C192-1,0)</f>
        <v>-0.58411214953271018</v>
      </c>
      <c r="J192" s="11">
        <f>IFERROR(E192/G192-1,0)</f>
        <v>0</v>
      </c>
      <c r="K192" s="12">
        <f>IFERROR(K191/K190,0)</f>
        <v>0.56485640397441128</v>
      </c>
      <c r="L192" s="68">
        <f>IFERROR(E192-K192,0)</f>
        <v>-0.26201170545801</v>
      </c>
      <c r="M192" s="73"/>
      <c r="N192" s="74"/>
    </row>
    <row r="193" spans="1:14" s="27" customFormat="1" ht="5.0999999999999996" customHeight="1" thickBot="1" x14ac:dyDescent="0.35">
      <c r="A193" s="5"/>
      <c r="B193" s="6"/>
      <c r="C193" s="7"/>
      <c r="D193" s="13"/>
      <c r="E193" s="14"/>
      <c r="F193" s="67"/>
      <c r="G193" s="13"/>
      <c r="H193" s="67"/>
      <c r="I193" s="21"/>
      <c r="J193" s="22"/>
      <c r="K193" s="54"/>
      <c r="L193" s="67"/>
      <c r="M193" s="73"/>
      <c r="N193" s="74"/>
    </row>
    <row r="194" spans="1:14" s="27" customFormat="1" ht="15" customHeight="1" thickBot="1" x14ac:dyDescent="0.35">
      <c r="A194" s="5"/>
      <c r="B194" s="6" t="s">
        <v>11</v>
      </c>
      <c r="C194" s="45">
        <v>8893.5</v>
      </c>
      <c r="D194" s="45">
        <v>3386</v>
      </c>
      <c r="E194" s="46">
        <v>3907.2</v>
      </c>
      <c r="F194" s="67">
        <f>IFERROR(E194-C194,0)</f>
        <v>-4986.3</v>
      </c>
      <c r="G194" s="45">
        <v>0</v>
      </c>
      <c r="H194" s="67">
        <f>IFERROR(E194-G194,0)</f>
        <v>3907.2</v>
      </c>
      <c r="I194" s="21"/>
      <c r="J194" s="22"/>
      <c r="K194" s="52">
        <v>7181.9100000000008</v>
      </c>
      <c r="L194" s="67">
        <f>IFERROR(E194-K194,0)</f>
        <v>-3274.7100000000009</v>
      </c>
      <c r="M194" s="73"/>
      <c r="N194" s="74"/>
    </row>
    <row r="195" spans="1:14" s="27" customFormat="1" ht="15" customHeight="1" thickBot="1" x14ac:dyDescent="0.35">
      <c r="A195" s="5"/>
      <c r="B195" s="6" t="s">
        <v>12</v>
      </c>
      <c r="C195" s="15">
        <f>IFERROR(C194/C191,0)</f>
        <v>1.6623364485981309</v>
      </c>
      <c r="D195" s="15">
        <f>IFERROR(D194/D191,0)</f>
        <v>1.6938469234617308</v>
      </c>
      <c r="E195" s="15">
        <f>IFERROR(E194/E191,0)</f>
        <v>1.7560449438202246</v>
      </c>
      <c r="F195" s="69">
        <f>IFERROR(E195-C195,0)</f>
        <v>9.370849522209368E-2</v>
      </c>
      <c r="G195" s="15">
        <f>IFERROR(G194/G191,0)</f>
        <v>0</v>
      </c>
      <c r="H195" s="69">
        <f>IFERROR(E195-G195,0)</f>
        <v>1.7560449438202246</v>
      </c>
      <c r="I195" s="21"/>
      <c r="J195" s="22"/>
      <c r="K195" s="55">
        <f>IFERROR(K194/K191,0)</f>
        <v>1.7305807228915664</v>
      </c>
      <c r="L195" s="69">
        <f>IFERROR(E195-K195,0)</f>
        <v>2.5464220928658188E-2</v>
      </c>
      <c r="M195" s="73"/>
      <c r="N195" s="74"/>
    </row>
    <row r="196" spans="1:14" s="27" customFormat="1" ht="5.0999999999999996" customHeight="1" thickBot="1" x14ac:dyDescent="0.35">
      <c r="A196" s="5"/>
      <c r="B196" s="6"/>
      <c r="C196" s="7"/>
      <c r="D196" s="13"/>
      <c r="E196" s="14"/>
      <c r="F196" s="69"/>
      <c r="G196" s="13"/>
      <c r="H196" s="69"/>
      <c r="I196" s="21"/>
      <c r="J196" s="22"/>
      <c r="K196" s="54"/>
      <c r="L196" s="69"/>
      <c r="M196" s="73"/>
      <c r="N196" s="74"/>
    </row>
    <row r="197" spans="1:14" s="27" customFormat="1" ht="15" customHeight="1" thickBot="1" x14ac:dyDescent="0.35">
      <c r="A197" s="5"/>
      <c r="B197" s="6" t="s">
        <v>13</v>
      </c>
      <c r="C197" s="15">
        <f>IFERROR(C186/C191,0)</f>
        <v>99.067999065420565</v>
      </c>
      <c r="D197" s="15">
        <f>IFERROR(D186/D191,0)</f>
        <v>100.67429420095002</v>
      </c>
      <c r="E197" s="15">
        <f>IFERROR(E186/E191,0)</f>
        <v>98.159568539325832</v>
      </c>
      <c r="F197" s="69">
        <f>IFERROR(E197-C197,0)</f>
        <v>-0.90843052609473318</v>
      </c>
      <c r="G197" s="15">
        <f>IFERROR(G186/G191,0)</f>
        <v>0</v>
      </c>
      <c r="H197" s="69">
        <f>IFERROR(E197-G197,0)</f>
        <v>98.159568539325832</v>
      </c>
      <c r="I197" s="21">
        <f>IFERROR(E197/C197-1,0)</f>
        <v>-9.1697675804963685E-3</v>
      </c>
      <c r="J197" s="22">
        <f>IFERROR(E197/G197-1,0)</f>
        <v>0</v>
      </c>
      <c r="K197" s="55">
        <f>IFERROR(K186/K191,0)</f>
        <v>98.980120481927713</v>
      </c>
      <c r="L197" s="69">
        <f>IFERROR(E197-K197,0)</f>
        <v>-0.82055194260188102</v>
      </c>
      <c r="M197" s="73"/>
      <c r="N197" s="74"/>
    </row>
    <row r="198" spans="1:14" s="38" customFormat="1" ht="15" customHeight="1" thickBot="1" x14ac:dyDescent="0.35">
      <c r="A198" s="9"/>
      <c r="B198" s="10" t="s">
        <v>14</v>
      </c>
      <c r="C198" s="16">
        <f>IFERROR(C186/C190,0)</f>
        <v>72.140165373621898</v>
      </c>
      <c r="D198" s="16">
        <f>IFERROR(D186/D190,0)</f>
        <v>27.391848932584605</v>
      </c>
      <c r="E198" s="16">
        <f>IFERROR(E186/E190,0)</f>
        <v>29.727104940792156</v>
      </c>
      <c r="F198" s="70">
        <f t="shared" ref="F198:F199" si="76">IFERROR(E198-C198,0)</f>
        <v>-42.413060432829738</v>
      </c>
      <c r="G198" s="16">
        <f>IFERROR(G186/G190,0)</f>
        <v>0</v>
      </c>
      <c r="H198" s="70">
        <f t="shared" ref="H198:H199" si="77">IFERROR(E198-G198,0)</f>
        <v>29.727104940792156</v>
      </c>
      <c r="I198" s="20">
        <f>IFERROR(E198/C198-1,0)</f>
        <v>-0.58792574446104762</v>
      </c>
      <c r="J198" s="11">
        <f>IFERROR(E198/G198-1,0)</f>
        <v>0</v>
      </c>
      <c r="K198" s="56">
        <f>IFERROR(K186/K190,0)</f>
        <v>55.909554920375662</v>
      </c>
      <c r="L198" s="70">
        <f>IFERROR(E198-K198,0)</f>
        <v>-26.182449979583506</v>
      </c>
      <c r="M198" s="73"/>
      <c r="N198" s="74"/>
    </row>
    <row r="199" spans="1:14" ht="15" customHeight="1" thickBot="1" x14ac:dyDescent="0.35">
      <c r="A199" s="17"/>
      <c r="B199" s="18" t="s">
        <v>34</v>
      </c>
      <c r="C199" s="19">
        <f>IFERROR(C185/C191,0)</f>
        <v>121.83807485941412</v>
      </c>
      <c r="D199" s="19">
        <f>IFERROR(D185/D191,0)</f>
        <v>106.70630180138889</v>
      </c>
      <c r="E199" s="19">
        <f>IFERROR(E185/E191,0)</f>
        <v>122.52128248942066</v>
      </c>
      <c r="F199" s="72">
        <f t="shared" si="76"/>
        <v>0.68320763000653528</v>
      </c>
      <c r="G199" s="19">
        <f>IFERROR(G185/G191,0)</f>
        <v>0</v>
      </c>
      <c r="H199" s="72">
        <f t="shared" si="77"/>
        <v>122.52128248942066</v>
      </c>
      <c r="I199" s="25">
        <f>IFERROR(E199/C199-1,0)</f>
        <v>5.6075051316666347E-3</v>
      </c>
      <c r="J199" s="26">
        <f>IFERROR(E199/G199-1,0)</f>
        <v>0</v>
      </c>
      <c r="K199" s="57">
        <f>IFERROR(K185/K191,0)</f>
        <v>130.06813838713938</v>
      </c>
      <c r="L199" s="72">
        <f>IFERROR(E199-K199,0)</f>
        <v>-7.5468558977187286</v>
      </c>
      <c r="M199" s="73"/>
      <c r="N199" s="74"/>
    </row>
    <row r="200" spans="1:14" s="27" customFormat="1" ht="15" customHeight="1" thickBot="1" x14ac:dyDescent="0.35">
      <c r="A200" s="43" t="s">
        <v>27</v>
      </c>
      <c r="B200" s="44" t="s">
        <v>20</v>
      </c>
      <c r="C200" s="3">
        <f t="shared" ref="C200" si="78">SUM(C201:C203)</f>
        <v>4258043.328648218</v>
      </c>
      <c r="D200" s="3">
        <f t="shared" ref="D200:E200" si="79">SUM(D201:D203)</f>
        <v>3503382.558662008</v>
      </c>
      <c r="E200" s="3">
        <f t="shared" si="79"/>
        <v>3577189.305174476</v>
      </c>
      <c r="F200" s="71">
        <f>IFERROR(SUM(F201:F203),0)</f>
        <v>-680854.02347374265</v>
      </c>
      <c r="G200" s="3">
        <f t="shared" ref="G200" si="80">SUM(G201:G203)</f>
        <v>2967737.5700000003</v>
      </c>
      <c r="H200" s="71">
        <f>IFERROR(E200-G200,0)</f>
        <v>609451.7351744757</v>
      </c>
      <c r="I200" s="20">
        <f>IFERROR(E200/C200-1,0)</f>
        <v>-0.15989833144555854</v>
      </c>
      <c r="J200" s="11">
        <f>IFERROR(E200/G200-1,0)</f>
        <v>0.20535903893095098</v>
      </c>
      <c r="K200" s="51">
        <f t="shared" ref="K200" si="81">SUM(K201:K203)</f>
        <v>3835637.1908288067</v>
      </c>
      <c r="L200" s="71">
        <f>IFERROR(SUM(L201:L203),0)</f>
        <v>-258447.88565433113</v>
      </c>
      <c r="M200" s="73"/>
      <c r="N200" s="74"/>
    </row>
    <row r="201" spans="1:14" s="27" customFormat="1" ht="15" customHeight="1" thickBot="1" x14ac:dyDescent="0.35">
      <c r="A201" s="5"/>
      <c r="B201" s="6" t="s">
        <v>5</v>
      </c>
      <c r="C201" s="45">
        <f t="shared" ref="C201:E203" si="82">C186+C171+C156+C141+C126+C111+C96+C81+C66+C51+C36+C21</f>
        <v>3469246.41</v>
      </c>
      <c r="D201" s="45">
        <f t="shared" si="82"/>
        <v>2733489.1932767872</v>
      </c>
      <c r="E201" s="45">
        <f t="shared" si="82"/>
        <v>2753645.5376355145</v>
      </c>
      <c r="F201" s="67">
        <f>IFERROR(E201-C201,0)</f>
        <v>-715600.87236448564</v>
      </c>
      <c r="G201" s="45">
        <f t="shared" ref="G201:G203" si="83">G186+G171+G156+G141+G126+G111+G96+G81+G66+G51+G36+G21</f>
        <v>2195047.5500000003</v>
      </c>
      <c r="H201" s="67">
        <f t="shared" ref="H201:H203" si="84">IFERROR(E201-G201,0)</f>
        <v>558597.98763551423</v>
      </c>
      <c r="I201" s="21">
        <f t="shared" ref="I201:I203" si="85">IFERROR(E201/C201-1,0)</f>
        <v>-0.20626983148322564</v>
      </c>
      <c r="J201" s="22">
        <f t="shared" ref="J201:J203" si="86">IFERROR(E201/G201-1,0)</f>
        <v>0.25448104194167187</v>
      </c>
      <c r="K201" s="52">
        <f t="shared" ref="K201:K203" si="87">K186+K171+K156+K141+K126+K111+K96+K81+K66+K51+K36+K21</f>
        <v>2972330.7290000003</v>
      </c>
      <c r="L201" s="67">
        <f>IFERROR(E201-K201,0)</f>
        <v>-218685.19136448577</v>
      </c>
      <c r="M201" s="73"/>
      <c r="N201" s="74"/>
    </row>
    <row r="202" spans="1:14" s="27" customFormat="1" ht="15" customHeight="1" thickBot="1" x14ac:dyDescent="0.35">
      <c r="A202" s="5"/>
      <c r="B202" s="6" t="s">
        <v>6</v>
      </c>
      <c r="C202" s="45">
        <f t="shared" si="82"/>
        <v>548453.77810199989</v>
      </c>
      <c r="D202" s="45">
        <f t="shared" si="82"/>
        <v>522635.86026937969</v>
      </c>
      <c r="E202" s="45">
        <f t="shared" si="82"/>
        <v>570256.84253896109</v>
      </c>
      <c r="F202" s="67">
        <f t="shared" ref="F202:F203" si="88">IFERROR(E202-C202,0)</f>
        <v>21803.064436961198</v>
      </c>
      <c r="G202" s="45">
        <f t="shared" si="83"/>
        <v>452062.89</v>
      </c>
      <c r="H202" s="67">
        <f t="shared" si="84"/>
        <v>118193.95253896108</v>
      </c>
      <c r="I202" s="21">
        <f t="shared" si="85"/>
        <v>3.9753695402397815E-2</v>
      </c>
      <c r="J202" s="22">
        <f t="shared" si="86"/>
        <v>0.26145466737816303</v>
      </c>
      <c r="K202" s="52">
        <f t="shared" si="87"/>
        <v>622962.81682880654</v>
      </c>
      <c r="L202" s="67">
        <f>IFERROR(E202-K202,0)</f>
        <v>-52705.974289845442</v>
      </c>
      <c r="M202" s="73"/>
      <c r="N202" s="74"/>
    </row>
    <row r="203" spans="1:14" s="27" customFormat="1" ht="15" customHeight="1" thickBot="1" x14ac:dyDescent="0.35">
      <c r="A203" s="5"/>
      <c r="B203" s="6" t="s">
        <v>7</v>
      </c>
      <c r="C203" s="45">
        <f t="shared" si="82"/>
        <v>240343.14054621843</v>
      </c>
      <c r="D203" s="45">
        <f t="shared" si="82"/>
        <v>247257.50511584093</v>
      </c>
      <c r="E203" s="45">
        <f t="shared" si="82"/>
        <v>253286.92500000016</v>
      </c>
      <c r="F203" s="67">
        <f t="shared" si="88"/>
        <v>12943.784453781729</v>
      </c>
      <c r="G203" s="45">
        <f t="shared" si="83"/>
        <v>320627.13</v>
      </c>
      <c r="H203" s="67">
        <f t="shared" si="84"/>
        <v>-67340.204999999842</v>
      </c>
      <c r="I203" s="21">
        <f t="shared" si="85"/>
        <v>5.385543529291037E-2</v>
      </c>
      <c r="J203" s="22">
        <f t="shared" si="86"/>
        <v>-0.21002653456056519</v>
      </c>
      <c r="K203" s="52">
        <f t="shared" si="87"/>
        <v>240343.64500000008</v>
      </c>
      <c r="L203" s="67">
        <f>IFERROR(E203-K203,0)</f>
        <v>12943.280000000086</v>
      </c>
      <c r="M203" s="73"/>
      <c r="N203" s="74"/>
    </row>
    <row r="204" spans="1:14" s="27" customFormat="1" ht="5.0999999999999996" customHeight="1" thickBot="1" x14ac:dyDescent="0.35">
      <c r="A204" s="5"/>
      <c r="B204" s="6"/>
      <c r="C204" s="7"/>
      <c r="D204" s="7"/>
      <c r="E204" s="8"/>
      <c r="F204" s="67"/>
      <c r="G204" s="7"/>
      <c r="H204" s="67"/>
      <c r="I204" s="21"/>
      <c r="J204" s="21"/>
      <c r="K204" s="53"/>
      <c r="L204" s="67"/>
      <c r="M204" s="73"/>
      <c r="N204" s="74"/>
    </row>
    <row r="205" spans="1:14" s="27" customFormat="1" ht="15" customHeight="1" thickBot="1" x14ac:dyDescent="0.35">
      <c r="A205" s="5"/>
      <c r="B205" s="6" t="s">
        <v>8</v>
      </c>
      <c r="C205" s="45">
        <f t="shared" ref="C205:E206" si="89">C190+C175+C160+C145+C130+C115+C100+C85+C70+C55+C40+C25</f>
        <v>86505</v>
      </c>
      <c r="D205" s="45">
        <f t="shared" si="89"/>
        <v>86505</v>
      </c>
      <c r="E205" s="46">
        <f t="shared" si="89"/>
        <v>86505</v>
      </c>
      <c r="F205" s="67">
        <f>IFERROR(E205-C205,0)</f>
        <v>0</v>
      </c>
      <c r="G205" s="45">
        <f t="shared" ref="G205:G206" si="90">G190+G175+G160+G145+G130+G115+G100+G85+G70+G55+G40+G25</f>
        <v>86742</v>
      </c>
      <c r="H205" s="67">
        <f>IFERROR(E205-G205,0)</f>
        <v>-237</v>
      </c>
      <c r="I205" s="23"/>
      <c r="J205" s="24"/>
      <c r="K205" s="52">
        <f t="shared" ref="K205:K206" si="91">K190+K175+K160+K145+K130+K115+K100+K85+K70+K55+K40+K25</f>
        <v>86505</v>
      </c>
      <c r="L205" s="67">
        <f>IFERROR(E205-K205,0)</f>
        <v>0</v>
      </c>
      <c r="M205" s="73"/>
      <c r="N205" s="74"/>
    </row>
    <row r="206" spans="1:14" s="27" customFormat="1" ht="15" customHeight="1" thickBot="1" x14ac:dyDescent="0.35">
      <c r="A206" s="5"/>
      <c r="B206" s="6" t="s">
        <v>9</v>
      </c>
      <c r="C206" s="45">
        <f t="shared" si="89"/>
        <v>33700</v>
      </c>
      <c r="D206" s="45">
        <f t="shared" si="89"/>
        <v>30597</v>
      </c>
      <c r="E206" s="46">
        <f t="shared" si="89"/>
        <v>30853</v>
      </c>
      <c r="F206" s="67">
        <f>IFERROR(E206-C206,0)</f>
        <v>-2847</v>
      </c>
      <c r="G206" s="45">
        <f t="shared" si="90"/>
        <v>24153</v>
      </c>
      <c r="H206" s="67">
        <f>IFERROR(E206-G206,0)</f>
        <v>6700</v>
      </c>
      <c r="I206" s="23"/>
      <c r="J206" s="24"/>
      <c r="K206" s="52">
        <f t="shared" si="91"/>
        <v>33003</v>
      </c>
      <c r="L206" s="67">
        <f>IFERROR(E206-K206,0)</f>
        <v>-2150</v>
      </c>
      <c r="M206" s="73"/>
      <c r="N206" s="74"/>
    </row>
    <row r="207" spans="1:14" s="38" customFormat="1" ht="15" customHeight="1" thickBot="1" x14ac:dyDescent="0.35">
      <c r="A207" s="9"/>
      <c r="B207" s="10" t="s">
        <v>10</v>
      </c>
      <c r="C207" s="11">
        <f>IFERROR(C206/C205,0)</f>
        <v>0.38957285706028555</v>
      </c>
      <c r="D207" s="11">
        <f>IFERROR(D206/D205,0)</f>
        <v>0.3537020981446159</v>
      </c>
      <c r="E207" s="11">
        <f>IFERROR(E206/E205,0)</f>
        <v>0.35666146465522225</v>
      </c>
      <c r="F207" s="68">
        <f>IFERROR(E207-C207,0)</f>
        <v>-3.29113924050633E-2</v>
      </c>
      <c r="G207" s="11">
        <f>IFERROR(G206/G205,0)</f>
        <v>0.27844642733623848</v>
      </c>
      <c r="H207" s="68">
        <f>IFERROR(E207-G207,0)</f>
        <v>7.8215037318983771E-2</v>
      </c>
      <c r="I207" s="20">
        <f>IFERROR(E207/C207-1,0)</f>
        <v>-8.4480712166172145E-2</v>
      </c>
      <c r="J207" s="11">
        <f>IFERROR(E207/G207-1,0)</f>
        <v>0.28089797404559635</v>
      </c>
      <c r="K207" s="12">
        <f>IFERROR(K206/K205,0)</f>
        <v>0.38151551933414252</v>
      </c>
      <c r="L207" s="68">
        <f>IFERROR(E207-K207,0)</f>
        <v>-2.4854054678920268E-2</v>
      </c>
      <c r="M207" s="73"/>
      <c r="N207" s="74"/>
    </row>
    <row r="208" spans="1:14" s="27" customFormat="1" ht="5.0999999999999996" customHeight="1" thickBot="1" x14ac:dyDescent="0.35">
      <c r="A208" s="5"/>
      <c r="B208" s="6"/>
      <c r="C208" s="7"/>
      <c r="D208" s="13"/>
      <c r="E208" s="14"/>
      <c r="F208" s="67"/>
      <c r="G208" s="13"/>
      <c r="H208" s="67"/>
      <c r="I208" s="21"/>
      <c r="J208" s="22"/>
      <c r="K208" s="54"/>
      <c r="L208" s="67"/>
      <c r="M208" s="73"/>
      <c r="N208" s="74"/>
    </row>
    <row r="209" spans="1:14" s="27" customFormat="1" ht="15" customHeight="1" thickBot="1" x14ac:dyDescent="0.35">
      <c r="A209" s="5"/>
      <c r="B209" s="6" t="s">
        <v>11</v>
      </c>
      <c r="C209" s="45">
        <f t="shared" ref="C209:E209" si="92">C194+C179+C164+C149+C134+C119+C104+C89+C74+C59+C44+C29</f>
        <v>51280.25</v>
      </c>
      <c r="D209" s="45">
        <f t="shared" si="92"/>
        <v>48079</v>
      </c>
      <c r="E209" s="46">
        <f t="shared" si="92"/>
        <v>48509.25</v>
      </c>
      <c r="F209" s="67">
        <f>IFERROR(E209-C209,0)</f>
        <v>-2771</v>
      </c>
      <c r="G209" s="45">
        <f t="shared" ref="G209" si="93">G194+G179+G164+G149+G134+G119+G104+G89+G74+G59+G44+G29</f>
        <v>37093</v>
      </c>
      <c r="H209" s="67">
        <f>IFERROR(E209-G209,0)</f>
        <v>11416.25</v>
      </c>
      <c r="I209" s="21">
        <f>IFERROR(E209/C209-1,0)</f>
        <v>-5.4036398028480703E-2</v>
      </c>
      <c r="J209" s="22">
        <f>IFERROR(E209/G209-1,0)</f>
        <v>0.30777370393335679</v>
      </c>
      <c r="K209" s="52">
        <f t="shared" ref="K209" si="94">K194+K179+K164+K149+K134+K119+K104+K89+K74+K59+K44+K29</f>
        <v>52094.33</v>
      </c>
      <c r="L209" s="67">
        <f>IFERROR(E209-K209,0)</f>
        <v>-3585.0800000000017</v>
      </c>
      <c r="M209" s="73"/>
      <c r="N209" s="74"/>
    </row>
    <row r="210" spans="1:14" s="27" customFormat="1" ht="15" customHeight="1" thickBot="1" x14ac:dyDescent="0.35">
      <c r="A210" s="5"/>
      <c r="B210" s="6" t="s">
        <v>12</v>
      </c>
      <c r="C210" s="15">
        <f>IFERROR(C209/C206,0)</f>
        <v>1.5216691394658755</v>
      </c>
      <c r="D210" s="15">
        <f>IFERROR(D209/D206,0)</f>
        <v>1.5713632055430271</v>
      </c>
      <c r="E210" s="39">
        <f>IFERROR(E209/E206,0)</f>
        <v>1.5722701195993907</v>
      </c>
      <c r="F210" s="69">
        <f>IFERROR(E210-C210,0)</f>
        <v>5.0600980133515217E-2</v>
      </c>
      <c r="G210" s="39">
        <f>IFERROR(G209/G206,0)</f>
        <v>1.53575125243241</v>
      </c>
      <c r="H210" s="69">
        <f>IFERROR(E210-G210,0)</f>
        <v>3.6518867166980717E-2</v>
      </c>
      <c r="I210" s="21"/>
      <c r="J210" s="22"/>
      <c r="K210" s="55">
        <f>IFERROR(K209/K206,0)</f>
        <v>1.5784725631003242</v>
      </c>
      <c r="L210" s="69">
        <f>IFERROR(E210-K210,0)</f>
        <v>-6.2024435009335743E-3</v>
      </c>
      <c r="M210" s="73"/>
      <c r="N210" s="74"/>
    </row>
    <row r="211" spans="1:14" s="27" customFormat="1" ht="5.0999999999999996" customHeight="1" thickBot="1" x14ac:dyDescent="0.35">
      <c r="A211" s="5"/>
      <c r="B211" s="6"/>
      <c r="C211" s="7"/>
      <c r="D211" s="7"/>
      <c r="E211" s="8"/>
      <c r="F211" s="69"/>
      <c r="G211" s="8"/>
      <c r="H211" s="69"/>
      <c r="I211" s="21"/>
      <c r="J211" s="22"/>
      <c r="K211" s="53"/>
      <c r="L211" s="69"/>
      <c r="M211" s="73"/>
      <c r="N211" s="74"/>
    </row>
    <row r="212" spans="1:14" s="27" customFormat="1" ht="15" customHeight="1" thickBot="1" x14ac:dyDescent="0.35">
      <c r="A212" s="5"/>
      <c r="B212" s="6" t="s">
        <v>13</v>
      </c>
      <c r="C212" s="15">
        <f>IFERROR(C201/C206,0)</f>
        <v>102.94499732937686</v>
      </c>
      <c r="D212" s="15">
        <f>IFERROR(D201/D206,0)</f>
        <v>89.338470872202734</v>
      </c>
      <c r="E212" s="39">
        <f>IFERROR(E201/E206,0)</f>
        <v>89.250495499157765</v>
      </c>
      <c r="F212" s="69">
        <f>IFERROR(E212-C212,0)</f>
        <v>-13.694501830219096</v>
      </c>
      <c r="G212" s="39">
        <f>IFERROR(G201/G206,0)</f>
        <v>90.880948536413712</v>
      </c>
      <c r="H212" s="69">
        <f>IFERROR(E212-G212,0)</f>
        <v>-1.6304530372559469</v>
      </c>
      <c r="I212" s="21">
        <f>IFERROR(E212/C212-1,0)</f>
        <v>-0.13302736592826325</v>
      </c>
      <c r="J212" s="22">
        <f>IFERROR(E212/G212-1,0)</f>
        <v>-1.7940537191936001E-2</v>
      </c>
      <c r="K212" s="55">
        <f>IFERROR(K201/K206,0)</f>
        <v>90.062440656909985</v>
      </c>
      <c r="L212" s="69">
        <f>IFERROR(E212-K212,0)</f>
        <v>-0.81194515775221987</v>
      </c>
      <c r="M212" s="73"/>
      <c r="N212" s="74"/>
    </row>
    <row r="213" spans="1:14" s="38" customFormat="1" ht="15" customHeight="1" thickBot="1" x14ac:dyDescent="0.35">
      <c r="A213" s="9"/>
      <c r="B213" s="10" t="s">
        <v>14</v>
      </c>
      <c r="C213" s="16">
        <f>IFERROR(C201/C205,0)</f>
        <v>40.104576729668807</v>
      </c>
      <c r="D213" s="16">
        <f>IFERROR(D201/D205,0)</f>
        <v>31.599204592529762</v>
      </c>
      <c r="E213" s="40">
        <f>IFERROR(E201/E205,0)</f>
        <v>31.83221244593393</v>
      </c>
      <c r="F213" s="70">
        <f t="shared" ref="F213:F214" si="95">IFERROR(E213-C213,0)</f>
        <v>-8.272364283734877</v>
      </c>
      <c r="G213" s="40">
        <f>IFERROR(G201/G205,0)</f>
        <v>25.305475432892951</v>
      </c>
      <c r="H213" s="70">
        <f t="shared" ref="H213:H214" si="96">IFERROR(E213-G213,0)</f>
        <v>6.5267370130409788</v>
      </c>
      <c r="I213" s="20">
        <f>IFERROR(E213/C213-1,0)</f>
        <v>-0.20626983148322564</v>
      </c>
      <c r="J213" s="11">
        <f>IFERROR(E213/G213-1,0)</f>
        <v>0.25791797630315583</v>
      </c>
      <c r="K213" s="56">
        <f>IFERROR(K201/K205,0)</f>
        <v>34.360218819721403</v>
      </c>
      <c r="L213" s="70">
        <f>IFERROR(E213-K213,0)</f>
        <v>-2.5280063737874734</v>
      </c>
      <c r="M213" s="73"/>
      <c r="N213" s="74"/>
    </row>
    <row r="214" spans="1:14" ht="15" customHeight="1" thickBot="1" x14ac:dyDescent="0.35">
      <c r="A214" s="17"/>
      <c r="B214" s="18" t="s">
        <v>34</v>
      </c>
      <c r="C214" s="19">
        <f>IFERROR(C200/C206,0)</f>
        <v>126.35143408451685</v>
      </c>
      <c r="D214" s="19">
        <f>IFERROR(D200/D206,0)</f>
        <v>114.50085167375913</v>
      </c>
      <c r="E214" s="19">
        <f>IFERROR(E200/E206,0)</f>
        <v>115.94299760718491</v>
      </c>
      <c r="F214" s="72">
        <f t="shared" si="95"/>
        <v>-10.408436477331946</v>
      </c>
      <c r="G214" s="19">
        <f>IFERROR(G200/G206,0)</f>
        <v>122.87242040326255</v>
      </c>
      <c r="H214" s="72">
        <f t="shared" si="96"/>
        <v>-6.9294227960776453</v>
      </c>
      <c r="I214" s="25">
        <f>IFERROR(E214/C214-1,0)</f>
        <v>-8.2376876469559601E-2</v>
      </c>
      <c r="J214" s="26">
        <f>IFERROR(E214/G214-1,0)</f>
        <v>-5.6395265701900787E-2</v>
      </c>
      <c r="K214" s="57">
        <f>IFERROR(K200/K206,0)</f>
        <v>116.22086449197973</v>
      </c>
      <c r="L214" s="72">
        <f>IFERROR(E214-K214,0)</f>
        <v>-0.27786688479481825</v>
      </c>
      <c r="M214" s="73"/>
      <c r="N214" s="74"/>
    </row>
  </sheetData>
  <sheetProtection algorithmName="SHA-512" hashValue="umImEAiAhteXYc1DSARPuh6lZTm4o/8t7YEXx7J2RsDKmDksTqEm3N/17dgMEbR3QYQk9vnU+VwQufeum9HG+Q==" saltValue="0t1/hWC0AUPCBZNPuE+Kcw==" spinCount="100000" sheet="1" objects="1" scenarios="1"/>
  <mergeCells count="19">
    <mergeCell ref="M200:N214"/>
    <mergeCell ref="M110:N124"/>
    <mergeCell ref="M125:N139"/>
    <mergeCell ref="M140:N154"/>
    <mergeCell ref="M155:N169"/>
    <mergeCell ref="M170:N184"/>
    <mergeCell ref="M185:N199"/>
    <mergeCell ref="M95:N109"/>
    <mergeCell ref="A3:A4"/>
    <mergeCell ref="B3:B4"/>
    <mergeCell ref="C3:E3"/>
    <mergeCell ref="M3:N3"/>
    <mergeCell ref="M4:N4"/>
    <mergeCell ref="M5:N19"/>
    <mergeCell ref="M20:N34"/>
    <mergeCell ref="M35:N49"/>
    <mergeCell ref="M50:N64"/>
    <mergeCell ref="M65:N79"/>
    <mergeCell ref="M80:N94"/>
  </mergeCells>
  <conditionalFormatting sqref="I159">
    <cfRule type="expression" dxfId="284" priority="58">
      <formula>$I155&gt;=0</formula>
    </cfRule>
    <cfRule type="expression" dxfId="283" priority="59">
      <formula>$I155&lt;0</formula>
    </cfRule>
  </conditionalFormatting>
  <conditionalFormatting sqref="J159">
    <cfRule type="expression" dxfId="282" priority="56">
      <formula>$J155&gt;=0</formula>
    </cfRule>
    <cfRule type="expression" dxfId="281" priority="57">
      <formula>$J155&lt;0</formula>
    </cfRule>
  </conditionalFormatting>
  <conditionalFormatting sqref="I174">
    <cfRule type="expression" dxfId="280" priority="54">
      <formula>$I170&gt;=0</formula>
    </cfRule>
    <cfRule type="expression" dxfId="279" priority="55">
      <formula>$I170&lt;0</formula>
    </cfRule>
  </conditionalFormatting>
  <conditionalFormatting sqref="J174">
    <cfRule type="expression" dxfId="278" priority="52">
      <formula>$J170&gt;=0</formula>
    </cfRule>
    <cfRule type="expression" dxfId="277" priority="53">
      <formula>$J170&lt;0</formula>
    </cfRule>
  </conditionalFormatting>
  <conditionalFormatting sqref="I24">
    <cfRule type="expression" dxfId="276" priority="94">
      <formula>$I20&gt;=0</formula>
    </cfRule>
    <cfRule type="expression" dxfId="275" priority="95">
      <formula>$I20&lt;0</formula>
    </cfRule>
  </conditionalFormatting>
  <conditionalFormatting sqref="J24">
    <cfRule type="expression" dxfId="274" priority="92">
      <formula>$J20&gt;=0</formula>
    </cfRule>
    <cfRule type="expression" dxfId="273" priority="93">
      <formula>$J20&lt;0</formula>
    </cfRule>
  </conditionalFormatting>
  <conditionalFormatting sqref="I39">
    <cfRule type="expression" dxfId="272" priority="90">
      <formula>$I35&gt;=0</formula>
    </cfRule>
    <cfRule type="expression" dxfId="271" priority="91">
      <formula>$I35&lt;0</formula>
    </cfRule>
  </conditionalFormatting>
  <conditionalFormatting sqref="J39">
    <cfRule type="expression" dxfId="270" priority="88">
      <formula>$J35&gt;=0</formula>
    </cfRule>
    <cfRule type="expression" dxfId="269" priority="89">
      <formula>$J35&lt;0</formula>
    </cfRule>
  </conditionalFormatting>
  <conditionalFormatting sqref="I54">
    <cfRule type="expression" dxfId="268" priority="86">
      <formula>$I50&gt;=0</formula>
    </cfRule>
    <cfRule type="expression" dxfId="267" priority="87">
      <formula>$I50&lt;0</formula>
    </cfRule>
  </conditionalFormatting>
  <conditionalFormatting sqref="J54">
    <cfRule type="expression" dxfId="266" priority="84">
      <formula>$J50&gt;=0</formula>
    </cfRule>
    <cfRule type="expression" dxfId="265" priority="85">
      <formula>$J50&lt;0</formula>
    </cfRule>
  </conditionalFormatting>
  <conditionalFormatting sqref="I69">
    <cfRule type="expression" dxfId="264" priority="82">
      <formula>$I65&gt;=0</formula>
    </cfRule>
    <cfRule type="expression" dxfId="263" priority="83">
      <formula>$I65&lt;0</formula>
    </cfRule>
  </conditionalFormatting>
  <conditionalFormatting sqref="J69">
    <cfRule type="expression" dxfId="262" priority="80">
      <formula>$J65&gt;=0</formula>
    </cfRule>
    <cfRule type="expression" dxfId="261" priority="81">
      <formula>$J65&lt;0</formula>
    </cfRule>
  </conditionalFormatting>
  <conditionalFormatting sqref="I84">
    <cfRule type="expression" dxfId="260" priority="78">
      <formula>$I80&gt;=0</formula>
    </cfRule>
    <cfRule type="expression" dxfId="259" priority="79">
      <formula>$I80&lt;0</formula>
    </cfRule>
  </conditionalFormatting>
  <conditionalFormatting sqref="J84">
    <cfRule type="expression" dxfId="258" priority="76">
      <formula>$J80&gt;=0</formula>
    </cfRule>
    <cfRule type="expression" dxfId="257" priority="77">
      <formula>$J80&lt;0</formula>
    </cfRule>
  </conditionalFormatting>
  <conditionalFormatting sqref="I99">
    <cfRule type="expression" dxfId="256" priority="74">
      <formula>$I95&gt;=0</formula>
    </cfRule>
    <cfRule type="expression" dxfId="255" priority="75">
      <formula>$I95&lt;0</formula>
    </cfRule>
  </conditionalFormatting>
  <conditionalFormatting sqref="J99">
    <cfRule type="expression" dxfId="254" priority="72">
      <formula>$J95&gt;=0</formula>
    </cfRule>
    <cfRule type="expression" dxfId="253" priority="73">
      <formula>$J95&lt;0</formula>
    </cfRule>
  </conditionalFormatting>
  <conditionalFormatting sqref="I114">
    <cfRule type="expression" dxfId="252" priority="70">
      <formula>$I110&gt;=0</formula>
    </cfRule>
    <cfRule type="expression" dxfId="251" priority="71">
      <formula>$I110&lt;0</formula>
    </cfRule>
  </conditionalFormatting>
  <conditionalFormatting sqref="J114">
    <cfRule type="expression" dxfId="250" priority="68">
      <formula>$J110&gt;=0</formula>
    </cfRule>
    <cfRule type="expression" dxfId="249" priority="69">
      <formula>$J110&lt;0</formula>
    </cfRule>
  </conditionalFormatting>
  <conditionalFormatting sqref="I129">
    <cfRule type="expression" dxfId="248" priority="66">
      <formula>$I125&gt;=0</formula>
    </cfRule>
    <cfRule type="expression" dxfId="247" priority="67">
      <formula>$I125&lt;0</formula>
    </cfRule>
  </conditionalFormatting>
  <conditionalFormatting sqref="J129">
    <cfRule type="expression" dxfId="246" priority="64">
      <formula>$J125&gt;=0</formula>
    </cfRule>
    <cfRule type="expression" dxfId="245" priority="65">
      <formula>$J125&lt;0</formula>
    </cfRule>
  </conditionalFormatting>
  <conditionalFormatting sqref="I144">
    <cfRule type="expression" dxfId="244" priority="62">
      <formula>$I140&gt;=0</formula>
    </cfRule>
    <cfRule type="expression" dxfId="243" priority="63">
      <formula>$I140&lt;0</formula>
    </cfRule>
  </conditionalFormatting>
  <conditionalFormatting sqref="J144">
    <cfRule type="expression" dxfId="242" priority="60">
      <formula>$J140&gt;=0</formula>
    </cfRule>
    <cfRule type="expression" dxfId="241" priority="61">
      <formula>$J140&lt;0</formula>
    </cfRule>
  </conditionalFormatting>
  <conditionalFormatting sqref="I189">
    <cfRule type="expression" dxfId="240" priority="50">
      <formula>$I185&gt;=0</formula>
    </cfRule>
    <cfRule type="expression" dxfId="239" priority="51">
      <formula>$I185&lt;0</formula>
    </cfRule>
  </conditionalFormatting>
  <conditionalFormatting sqref="J189">
    <cfRule type="expression" dxfId="238" priority="48">
      <formula>$J185&gt;=0</formula>
    </cfRule>
    <cfRule type="expression" dxfId="237" priority="49">
      <formula>$J185&lt;0</formula>
    </cfRule>
  </conditionalFormatting>
  <conditionalFormatting sqref="I204">
    <cfRule type="expression" dxfId="236" priority="46">
      <formula>$I200&gt;=0</formula>
    </cfRule>
    <cfRule type="expression" dxfId="235" priority="47">
      <formula>$I200&lt;0</formula>
    </cfRule>
  </conditionalFormatting>
  <conditionalFormatting sqref="J204">
    <cfRule type="expression" dxfId="234" priority="44">
      <formula>$J200&gt;=0</formula>
    </cfRule>
    <cfRule type="expression" dxfId="233" priority="45">
      <formula>$J200&lt;0</formula>
    </cfRule>
  </conditionalFormatting>
  <conditionalFormatting sqref="I9">
    <cfRule type="expression" dxfId="232" priority="42">
      <formula>$I5&gt;=0</formula>
    </cfRule>
    <cfRule type="expression" dxfId="231" priority="43">
      <formula>$I5&lt;0</formula>
    </cfRule>
  </conditionalFormatting>
  <conditionalFormatting sqref="J9">
    <cfRule type="expression" dxfId="230" priority="40">
      <formula>$J5&gt;=0</formula>
    </cfRule>
    <cfRule type="expression" dxfId="229" priority="41">
      <formula>$J5&lt;0</formula>
    </cfRule>
  </conditionalFormatting>
  <conditionalFormatting sqref="L207">
    <cfRule type="cellIs" dxfId="228" priority="39" operator="lessThan">
      <formula>0</formula>
    </cfRule>
  </conditionalFormatting>
  <conditionalFormatting sqref="H207">
    <cfRule type="cellIs" dxfId="227" priority="38" operator="lessThan">
      <formula>0</formula>
    </cfRule>
  </conditionalFormatting>
  <conditionalFormatting sqref="F207">
    <cfRule type="cellIs" dxfId="226" priority="37" operator="lessThan">
      <formula>0</formula>
    </cfRule>
  </conditionalFormatting>
  <conditionalFormatting sqref="F192">
    <cfRule type="cellIs" dxfId="225" priority="36" operator="lessThan">
      <formula>0</formula>
    </cfRule>
  </conditionalFormatting>
  <conditionalFormatting sqref="H192">
    <cfRule type="cellIs" dxfId="224" priority="35" operator="lessThan">
      <formula>0</formula>
    </cfRule>
  </conditionalFormatting>
  <conditionalFormatting sqref="L192">
    <cfRule type="cellIs" dxfId="223" priority="34" operator="lessThan">
      <formula>0</formula>
    </cfRule>
  </conditionalFormatting>
  <conditionalFormatting sqref="L177">
    <cfRule type="cellIs" dxfId="222" priority="33" operator="lessThan">
      <formula>0</formula>
    </cfRule>
  </conditionalFormatting>
  <conditionalFormatting sqref="H177">
    <cfRule type="cellIs" dxfId="221" priority="32" operator="lessThan">
      <formula>0</formula>
    </cfRule>
  </conditionalFormatting>
  <conditionalFormatting sqref="F177">
    <cfRule type="cellIs" dxfId="220" priority="31" operator="lessThan">
      <formula>0</formula>
    </cfRule>
  </conditionalFormatting>
  <conditionalFormatting sqref="F162">
    <cfRule type="cellIs" dxfId="219" priority="30" operator="lessThan">
      <formula>0</formula>
    </cfRule>
  </conditionalFormatting>
  <conditionalFormatting sqref="H162">
    <cfRule type="cellIs" dxfId="218" priority="29" operator="lessThan">
      <formula>0</formula>
    </cfRule>
  </conditionalFormatting>
  <conditionalFormatting sqref="L162">
    <cfRule type="cellIs" dxfId="217" priority="28" operator="lessThan">
      <formula>0</formula>
    </cfRule>
  </conditionalFormatting>
  <conditionalFormatting sqref="L147">
    <cfRule type="cellIs" dxfId="216" priority="27" operator="lessThan">
      <formula>0</formula>
    </cfRule>
  </conditionalFormatting>
  <conditionalFormatting sqref="H147">
    <cfRule type="cellIs" dxfId="215" priority="26" operator="lessThan">
      <formula>0</formula>
    </cfRule>
  </conditionalFormatting>
  <conditionalFormatting sqref="F147">
    <cfRule type="cellIs" dxfId="214" priority="25" operator="lessThan">
      <formula>0</formula>
    </cfRule>
  </conditionalFormatting>
  <conditionalFormatting sqref="F132">
    <cfRule type="cellIs" dxfId="213" priority="24" operator="lessThan">
      <formula>0</formula>
    </cfRule>
  </conditionalFormatting>
  <conditionalFormatting sqref="H132">
    <cfRule type="cellIs" dxfId="212" priority="23" operator="lessThan">
      <formula>0</formula>
    </cfRule>
  </conditionalFormatting>
  <conditionalFormatting sqref="L132">
    <cfRule type="cellIs" dxfId="211" priority="22" operator="lessThan">
      <formula>0</formula>
    </cfRule>
  </conditionalFormatting>
  <conditionalFormatting sqref="L117">
    <cfRule type="cellIs" dxfId="210" priority="21" operator="lessThan">
      <formula>0</formula>
    </cfRule>
  </conditionalFormatting>
  <conditionalFormatting sqref="H117">
    <cfRule type="cellIs" dxfId="209" priority="20" operator="lessThan">
      <formula>0</formula>
    </cfRule>
  </conditionalFormatting>
  <conditionalFormatting sqref="F117">
    <cfRule type="cellIs" dxfId="208" priority="19" operator="lessThan">
      <formula>0</formula>
    </cfRule>
  </conditionalFormatting>
  <conditionalFormatting sqref="F102">
    <cfRule type="cellIs" dxfId="207" priority="18" operator="lessThan">
      <formula>0</formula>
    </cfRule>
  </conditionalFormatting>
  <conditionalFormatting sqref="H102">
    <cfRule type="cellIs" dxfId="206" priority="17" operator="lessThan">
      <formula>0</formula>
    </cfRule>
  </conditionalFormatting>
  <conditionalFormatting sqref="L102">
    <cfRule type="cellIs" dxfId="205" priority="16" operator="lessThan">
      <formula>0</formula>
    </cfRule>
  </conditionalFormatting>
  <conditionalFormatting sqref="L87">
    <cfRule type="cellIs" dxfId="204" priority="15" operator="lessThan">
      <formula>0</formula>
    </cfRule>
  </conditionalFormatting>
  <conditionalFormatting sqref="H87">
    <cfRule type="cellIs" dxfId="203" priority="14" operator="lessThan">
      <formula>0</formula>
    </cfRule>
  </conditionalFormatting>
  <conditionalFormatting sqref="F87">
    <cfRule type="cellIs" dxfId="202" priority="13" operator="lessThan">
      <formula>0</formula>
    </cfRule>
  </conditionalFormatting>
  <conditionalFormatting sqref="F72">
    <cfRule type="cellIs" dxfId="201" priority="12" operator="lessThan">
      <formula>0</formula>
    </cfRule>
  </conditionalFormatting>
  <conditionalFormatting sqref="H72">
    <cfRule type="cellIs" dxfId="200" priority="11" operator="lessThan">
      <formula>0</formula>
    </cfRule>
  </conditionalFormatting>
  <conditionalFormatting sqref="L72">
    <cfRule type="cellIs" dxfId="199" priority="10" operator="lessThan">
      <formula>0</formula>
    </cfRule>
  </conditionalFormatting>
  <conditionalFormatting sqref="L57">
    <cfRule type="cellIs" dxfId="198" priority="9" operator="lessThan">
      <formula>0</formula>
    </cfRule>
  </conditionalFormatting>
  <conditionalFormatting sqref="H57">
    <cfRule type="cellIs" dxfId="197" priority="8" operator="lessThan">
      <formula>0</formula>
    </cfRule>
  </conditionalFormatting>
  <conditionalFormatting sqref="F57">
    <cfRule type="cellIs" dxfId="196" priority="7" operator="lessThan">
      <formula>0</formula>
    </cfRule>
  </conditionalFormatting>
  <conditionalFormatting sqref="F42">
    <cfRule type="cellIs" dxfId="195" priority="6" operator="lessThan">
      <formula>0</formula>
    </cfRule>
  </conditionalFormatting>
  <conditionalFormatting sqref="H42">
    <cfRule type="cellIs" dxfId="194" priority="5" operator="lessThan">
      <formula>0</formula>
    </cfRule>
  </conditionalFormatting>
  <conditionalFormatting sqref="L42">
    <cfRule type="cellIs" dxfId="193" priority="4" operator="lessThan">
      <formula>0</formula>
    </cfRule>
  </conditionalFormatting>
  <conditionalFormatting sqref="L27">
    <cfRule type="cellIs" dxfId="192" priority="3" operator="lessThan">
      <formula>0</formula>
    </cfRule>
  </conditionalFormatting>
  <conditionalFormatting sqref="H27">
    <cfRule type="cellIs" dxfId="191" priority="2" operator="lessThan">
      <formula>0</formula>
    </cfRule>
  </conditionalFormatting>
  <conditionalFormatting sqref="F27">
    <cfRule type="cellIs" dxfId="190" priority="1" operator="lessThan">
      <formula>0</formula>
    </cfRule>
  </conditionalFormatting>
  <dataValidations count="1">
    <dataValidation type="list" allowBlank="1" showInputMessage="1" showErrorMessage="1" sqref="B3:B4" xr:uid="{00000000-0002-0000-0200-000000000000}">
      <formula1>hotel_name_list</formula1>
    </dataValidation>
  </dataValidations>
  <pageMargins left="0.70866141732283472" right="0.70866141732283472" top="0.59055118110236227" bottom="0.59055118110236227" header="0.31496062992125984" footer="0.31496062992125984"/>
  <pageSetup paperSize="9" scale="45" fitToHeight="0" orientation="portrait" r:id="rId1"/>
  <rowBreaks count="1" manualBreakCount="1">
    <brk id="109" max="16383" man="1"/>
  </rowBreak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Tabelle15">
    <tabColor theme="3" tint="0.39997558519241921"/>
    <outlinePr summaryBelow="0" summaryRight="0"/>
    <pageSetUpPr fitToPage="1"/>
  </sheetPr>
  <dimension ref="A1:N214"/>
  <sheetViews>
    <sheetView showGridLines="0" zoomScale="80" zoomScaleNormal="80" zoomScaleSheetLayoutView="85" workbookViewId="0">
      <pane ySplit="19" topLeftCell="A170" activePane="bottomLeft" state="frozen"/>
      <selection activeCell="B3" sqref="B3:B4"/>
      <selection pane="bottomLeft" activeCell="A170" sqref="A170"/>
    </sheetView>
  </sheetViews>
  <sheetFormatPr baseColWidth="10" defaultColWidth="11.44140625" defaultRowHeight="15" x14ac:dyDescent="0.3"/>
  <cols>
    <col min="1" max="1" width="4.88671875" style="27" bestFit="1" customWidth="1"/>
    <col min="2" max="2" width="20.44140625" style="27" bestFit="1" customWidth="1"/>
    <col min="3" max="5" width="13.6640625" style="27" customWidth="1"/>
    <col min="6" max="6" width="13.6640625" style="28" customWidth="1"/>
    <col min="7" max="7" width="13.6640625" style="27" customWidth="1"/>
    <col min="8" max="8" width="13.6640625" style="28" customWidth="1"/>
    <col min="9" max="11" width="13.6640625" style="27" customWidth="1"/>
    <col min="12" max="12" width="13.6640625" style="28" customWidth="1"/>
    <col min="13" max="13" width="7.88671875" style="27" customWidth="1"/>
    <col min="14" max="14" width="23.6640625" style="27" customWidth="1"/>
    <col min="15" max="16384" width="11.44140625" style="30"/>
  </cols>
  <sheetData>
    <row r="1" spans="1:14" x14ac:dyDescent="0.3">
      <c r="M1" s="47">
        <f>IFERROR(VLOOKUP(B3,hotel_information,2,FALSE),0)</f>
        <v>288</v>
      </c>
      <c r="N1" s="29" t="s">
        <v>28</v>
      </c>
    </row>
    <row r="2" spans="1:14" ht="15.6" thickBot="1" x14ac:dyDescent="0.35">
      <c r="M2" s="47">
        <f>IFERROR(VLOOKUP(B3,hotel_information,3,FALSE),0)</f>
        <v>696</v>
      </c>
      <c r="N2" s="29" t="s">
        <v>29</v>
      </c>
    </row>
    <row r="3" spans="1:14" s="27" customFormat="1" ht="13.5" customHeight="1" thickBot="1" x14ac:dyDescent="0.3">
      <c r="A3" s="75"/>
      <c r="B3" s="77" t="s">
        <v>53</v>
      </c>
      <c r="C3" s="83">
        <v>2021</v>
      </c>
      <c r="D3" s="84"/>
      <c r="E3" s="85"/>
      <c r="F3" s="31"/>
      <c r="G3" s="31"/>
      <c r="H3" s="31"/>
      <c r="I3" s="31"/>
      <c r="J3" s="31"/>
      <c r="K3" s="32"/>
      <c r="L3" s="32"/>
      <c r="M3" s="79" t="s">
        <v>30</v>
      </c>
      <c r="N3" s="80"/>
    </row>
    <row r="4" spans="1:14" s="27" customFormat="1" ht="14.4" thickBot="1" x14ac:dyDescent="0.35">
      <c r="A4" s="76"/>
      <c r="B4" s="78"/>
      <c r="C4" s="48" t="s">
        <v>0</v>
      </c>
      <c r="D4" s="49" t="s">
        <v>1</v>
      </c>
      <c r="E4" s="49" t="s">
        <v>31</v>
      </c>
      <c r="F4" s="35" t="s">
        <v>2</v>
      </c>
      <c r="G4" s="49" t="s">
        <v>39</v>
      </c>
      <c r="H4" s="50" t="s">
        <v>38</v>
      </c>
      <c r="I4" s="49" t="s">
        <v>3</v>
      </c>
      <c r="J4" s="49" t="s">
        <v>4</v>
      </c>
      <c r="K4" s="48" t="s">
        <v>37</v>
      </c>
      <c r="L4" s="58" t="s">
        <v>32</v>
      </c>
      <c r="M4" s="81">
        <f>IFERROR(VLOOKUP(B3,hotel_information,6,FALSE),0)</f>
        <v>55.277597848360649</v>
      </c>
      <c r="N4" s="82"/>
    </row>
    <row r="5" spans="1:14" s="27" customFormat="1" ht="15" customHeight="1" thickBot="1" x14ac:dyDescent="0.35">
      <c r="A5" s="36" t="s">
        <v>27</v>
      </c>
      <c r="B5" s="37" t="str">
        <f>'Region Berlin'!B5</f>
        <v>Dezember</v>
      </c>
      <c r="C5" s="3">
        <f>SUM(C6:C8)</f>
        <v>4720183</v>
      </c>
      <c r="D5" s="3">
        <f>SUM(D6:D8)</f>
        <v>3400462</v>
      </c>
      <c r="E5" s="3">
        <f>SUM(E6:E8)</f>
        <v>3071739</v>
      </c>
      <c r="F5" s="66">
        <f>IFERROR(SUM(F6:F8),0)</f>
        <v>-1648444</v>
      </c>
      <c r="G5" s="3">
        <f>SUM(G6:G8)</f>
        <v>2504258</v>
      </c>
      <c r="H5" s="66">
        <f>IFERROR(E5-G5,0)</f>
        <v>567481</v>
      </c>
      <c r="I5" s="20">
        <f>IFERROR(E5/C5-1,0)</f>
        <v>-0.3492330699890237</v>
      </c>
      <c r="J5" s="11">
        <f>IFERROR(E5/G5-1,0)</f>
        <v>0.22660644390474149</v>
      </c>
      <c r="K5" s="51">
        <f>SUM(K6:K8)</f>
        <v>3679115</v>
      </c>
      <c r="L5" s="66">
        <f>IFERROR(SUM(L6:L8),0)</f>
        <v>-607376</v>
      </c>
      <c r="M5" s="73"/>
      <c r="N5" s="74"/>
    </row>
    <row r="6" spans="1:14" s="27" customFormat="1" ht="15" customHeight="1" thickBot="1" x14ac:dyDescent="0.35">
      <c r="A6" s="5"/>
      <c r="B6" s="6" t="s">
        <v>5</v>
      </c>
      <c r="C6" s="45" cm="1">
        <f t="array" ref="C6">NestedIF($B$5,C6)</f>
        <v>3978192</v>
      </c>
      <c r="D6" s="45" cm="1">
        <f t="array" ref="D6">NestedIF($B$5,D6)</f>
        <v>2766397</v>
      </c>
      <c r="E6" s="45" cm="1">
        <f t="array" ref="E6">NestedIF($B$5,E6)</f>
        <v>2423665</v>
      </c>
      <c r="F6" s="67">
        <f>IFERROR(E6-C6,0)</f>
        <v>-1554527</v>
      </c>
      <c r="G6" s="45" cm="1">
        <f t="array" ref="G6">NestedIF($B$5,G6)</f>
        <v>1835539</v>
      </c>
      <c r="H6" s="67">
        <f t="shared" ref="H6:H8" si="0">IFERROR(E6-G6,0)</f>
        <v>588126</v>
      </c>
      <c r="I6" s="21">
        <f t="shared" ref="I6:I8" si="1">IFERROR(E6/C6-1,0)</f>
        <v>-0.39076218543499153</v>
      </c>
      <c r="J6" s="22">
        <f t="shared" ref="J6:J8" si="2">IFERROR(E6/G6-1,0)</f>
        <v>0.32041051701979639</v>
      </c>
      <c r="K6" s="52" cm="1">
        <f t="array" ref="K6">NestedIF($B$5,K6)</f>
        <v>2913120</v>
      </c>
      <c r="L6" s="67">
        <f>IFERROR(E6-K6,0)</f>
        <v>-489455</v>
      </c>
      <c r="M6" s="73"/>
      <c r="N6" s="74"/>
    </row>
    <row r="7" spans="1:14" s="27" customFormat="1" ht="15" customHeight="1" thickBot="1" x14ac:dyDescent="0.35">
      <c r="A7" s="5"/>
      <c r="B7" s="6" t="s">
        <v>6</v>
      </c>
      <c r="C7" s="45" cm="1">
        <f t="array" ref="C7">NestedIF($B$5,C7)</f>
        <v>639633</v>
      </c>
      <c r="D7" s="45" cm="1">
        <f t="array" ref="D7">NestedIF($B$5,D7)</f>
        <v>531913</v>
      </c>
      <c r="E7" s="45" cm="1">
        <f t="array" ref="E7">NestedIF($B$5,E7)</f>
        <v>544154</v>
      </c>
      <c r="F7" s="67">
        <f t="shared" ref="F7:F8" si="3">IFERROR(E7-C7,0)</f>
        <v>-95479</v>
      </c>
      <c r="G7" s="45" cm="1">
        <f t="array" ref="G7">NestedIF($B$5,G7)</f>
        <v>425530</v>
      </c>
      <c r="H7" s="67">
        <f t="shared" si="0"/>
        <v>118624</v>
      </c>
      <c r="I7" s="21">
        <f t="shared" si="1"/>
        <v>-0.14927153539607874</v>
      </c>
      <c r="J7" s="22">
        <f t="shared" si="2"/>
        <v>0.27876765445444507</v>
      </c>
      <c r="K7" s="52" cm="1">
        <f t="array" ref="K7">NestedIF($B$5,K7)</f>
        <v>641636</v>
      </c>
      <c r="L7" s="67">
        <f>IFERROR(E7-K7,0)</f>
        <v>-97482</v>
      </c>
      <c r="M7" s="73"/>
      <c r="N7" s="74"/>
    </row>
    <row r="8" spans="1:14" s="27" customFormat="1" ht="15" customHeight="1" thickBot="1" x14ac:dyDescent="0.35">
      <c r="A8" s="5"/>
      <c r="B8" s="6" t="s">
        <v>7</v>
      </c>
      <c r="C8" s="45" cm="1">
        <f t="array" ref="C8">NestedIF($B$5,C8)</f>
        <v>102358</v>
      </c>
      <c r="D8" s="45" cm="1">
        <f t="array" ref="D8">NestedIF($B$5,D8)</f>
        <v>102152</v>
      </c>
      <c r="E8" s="45" cm="1">
        <f t="array" ref="E8">NestedIF($B$5,E8)</f>
        <v>103920</v>
      </c>
      <c r="F8" s="67">
        <f t="shared" si="3"/>
        <v>1562</v>
      </c>
      <c r="G8" s="45" cm="1">
        <f t="array" ref="G8">NestedIF($B$5,G8)</f>
        <v>243189</v>
      </c>
      <c r="H8" s="67">
        <f t="shared" si="0"/>
        <v>-139269</v>
      </c>
      <c r="I8" s="21">
        <f t="shared" si="1"/>
        <v>1.5260165302174666E-2</v>
      </c>
      <c r="J8" s="22">
        <f t="shared" si="2"/>
        <v>-0.57267804053637295</v>
      </c>
      <c r="K8" s="52" cm="1">
        <f t="array" ref="K8">NestedIF($B$5,K8)</f>
        <v>124359</v>
      </c>
      <c r="L8" s="67">
        <f>IFERROR(E8-K8,0)</f>
        <v>-20439</v>
      </c>
      <c r="M8" s="73"/>
      <c r="N8" s="74"/>
    </row>
    <row r="9" spans="1:14" s="27" customFormat="1" ht="5.0999999999999996" customHeight="1" thickBot="1" x14ac:dyDescent="0.35">
      <c r="A9" s="5"/>
      <c r="B9" s="6"/>
      <c r="C9" s="7"/>
      <c r="D9" s="7"/>
      <c r="E9" s="8"/>
      <c r="F9" s="67"/>
      <c r="G9" s="7"/>
      <c r="H9" s="67"/>
      <c r="I9" s="21"/>
      <c r="J9" s="21"/>
      <c r="K9" s="53"/>
      <c r="L9" s="67"/>
      <c r="M9" s="73"/>
      <c r="N9" s="74"/>
    </row>
    <row r="10" spans="1:14" s="27" customFormat="1" ht="15" customHeight="1" thickBot="1" x14ac:dyDescent="0.35">
      <c r="A10" s="5"/>
      <c r="B10" s="6" t="s">
        <v>8</v>
      </c>
      <c r="C10" s="45" cm="1">
        <f t="array" ref="C10">NestedIF($B$5,C10)</f>
        <v>105120</v>
      </c>
      <c r="D10" s="45" cm="1">
        <f t="array" ref="D10">NestedIF($B$5,D10)</f>
        <v>105120</v>
      </c>
      <c r="E10" s="46" cm="1">
        <f t="array" ref="E10">NestedIF($B$5,E10)</f>
        <v>105120</v>
      </c>
      <c r="F10" s="67">
        <f>IFERROR(E10-C10,0)</f>
        <v>0</v>
      </c>
      <c r="G10" s="45" cm="1">
        <f t="array" ref="G10">NestedIF($B$5,G10)</f>
        <v>105408</v>
      </c>
      <c r="H10" s="67">
        <f>IFERROR(E10-G10,0)</f>
        <v>-288</v>
      </c>
      <c r="I10" s="23"/>
      <c r="J10" s="24"/>
      <c r="K10" s="52" cm="1">
        <f t="array" ref="K10">NestedIF($B$5,K10)</f>
        <v>105120</v>
      </c>
      <c r="L10" s="67">
        <f>IFERROR(E10-K10,0)</f>
        <v>0</v>
      </c>
      <c r="M10" s="73"/>
      <c r="N10" s="74"/>
    </row>
    <row r="11" spans="1:14" s="27" customFormat="1" ht="15" customHeight="1" thickBot="1" x14ac:dyDescent="0.35">
      <c r="A11" s="5"/>
      <c r="B11" s="6" t="s">
        <v>9</v>
      </c>
      <c r="C11" s="45" cm="1">
        <f t="array" ref="C11">NestedIF($B$5,C11)</f>
        <v>45100</v>
      </c>
      <c r="D11" s="45" cm="1">
        <f t="array" ref="D11">NestedIF($B$5,D11)</f>
        <v>42599</v>
      </c>
      <c r="E11" s="46" cm="1">
        <f t="array" ref="E11">NestedIF($B$5,E11)</f>
        <v>38265</v>
      </c>
      <c r="F11" s="67">
        <f>IFERROR(E11-C11,0)</f>
        <v>-6835</v>
      </c>
      <c r="G11" s="45" cm="1">
        <f t="array" ref="G11">NestedIF($B$5,G11)</f>
        <v>28855</v>
      </c>
      <c r="H11" s="67">
        <f>IFERROR(E11-G11,0)</f>
        <v>9410</v>
      </c>
      <c r="I11" s="23"/>
      <c r="J11" s="24"/>
      <c r="K11" s="52" cm="1">
        <f t="array" ref="K11">NestedIF($B$5,K11)</f>
        <v>44715</v>
      </c>
      <c r="L11" s="67">
        <f>IFERROR(E11-K11,0)</f>
        <v>-6450</v>
      </c>
      <c r="M11" s="73"/>
      <c r="N11" s="74"/>
    </row>
    <row r="12" spans="1:14" s="38" customFormat="1" ht="15" customHeight="1" thickBot="1" x14ac:dyDescent="0.35">
      <c r="A12" s="9"/>
      <c r="B12" s="10" t="s">
        <v>10</v>
      </c>
      <c r="C12" s="11">
        <f>IFERROR(C11/C10,0)</f>
        <v>0.42903348554033488</v>
      </c>
      <c r="D12" s="11">
        <f>IFERROR(D11/D10,0)</f>
        <v>0.4052416286149163</v>
      </c>
      <c r="E12" s="11">
        <f>IFERROR(E11/E10,0)</f>
        <v>0.36401255707762559</v>
      </c>
      <c r="F12" s="68">
        <f>IFERROR(E12-C12,0)</f>
        <v>-6.5020928462709293E-2</v>
      </c>
      <c r="G12" s="11">
        <f>IFERROR(G11/G10,0)</f>
        <v>0.27374582574377654</v>
      </c>
      <c r="H12" s="68">
        <f>IFERROR(E12-G12,0)</f>
        <v>9.0266731333849048E-2</v>
      </c>
      <c r="I12" s="20">
        <f>IFERROR(E12/C12-1,0)</f>
        <v>-0.15155210643015526</v>
      </c>
      <c r="J12" s="11">
        <f>IFERROR(E12/G12-1,0)</f>
        <v>0.32974651243938169</v>
      </c>
      <c r="K12" s="12">
        <f>IFERROR(K11/K10,0)</f>
        <v>0.42537100456621002</v>
      </c>
      <c r="L12" s="68">
        <f>IFERROR(E12-K12,0)</f>
        <v>-6.1358447488584433E-2</v>
      </c>
      <c r="M12" s="73"/>
      <c r="N12" s="74"/>
    </row>
    <row r="13" spans="1:14" s="27" customFormat="1" ht="5.0999999999999996" customHeight="1" thickBot="1" x14ac:dyDescent="0.35">
      <c r="A13" s="5"/>
      <c r="B13" s="6"/>
      <c r="C13" s="7"/>
      <c r="D13" s="13"/>
      <c r="E13" s="14"/>
      <c r="F13" s="67"/>
      <c r="G13" s="13"/>
      <c r="H13" s="67"/>
      <c r="I13" s="21"/>
      <c r="J13" s="22"/>
      <c r="K13" s="54"/>
      <c r="L13" s="67"/>
      <c r="M13" s="73"/>
      <c r="N13" s="74"/>
    </row>
    <row r="14" spans="1:14" s="27" customFormat="1" ht="15" customHeight="1" thickBot="1" x14ac:dyDescent="0.35">
      <c r="A14" s="5"/>
      <c r="B14" s="6" t="s">
        <v>11</v>
      </c>
      <c r="C14" s="45" cm="1">
        <f t="array" ref="C14">NestedIF($B$5,C14)</f>
        <v>89475</v>
      </c>
      <c r="D14" s="45" cm="1">
        <f t="array" ref="D14">NestedIF($B$5,D14)</f>
        <v>80566</v>
      </c>
      <c r="E14" s="46" cm="1">
        <f t="array" ref="E14">NestedIF($B$5,E14)</f>
        <v>71280</v>
      </c>
      <c r="F14" s="67">
        <f>IFERROR(E14-C14,0)</f>
        <v>-18195</v>
      </c>
      <c r="G14" s="45" cm="1">
        <f t="array" ref="G14">NestedIF($B$5,G14)</f>
        <v>56733</v>
      </c>
      <c r="H14" s="67">
        <f>IFERROR(E14-G14,0)</f>
        <v>14547</v>
      </c>
      <c r="I14" s="21">
        <f>IFERROR(E14/C14-1,0)</f>
        <v>-0.20335289186923722</v>
      </c>
      <c r="J14" s="22">
        <f>IFERROR(E14/G14-1,0)</f>
        <v>0.25641161228914378</v>
      </c>
      <c r="K14" s="52" cm="1">
        <f t="array" ref="K14">NestedIF($B$5,K14)</f>
        <v>84016</v>
      </c>
      <c r="L14" s="67">
        <f>IFERROR(E14-K14,0)</f>
        <v>-12736</v>
      </c>
      <c r="M14" s="73"/>
      <c r="N14" s="74"/>
    </row>
    <row r="15" spans="1:14" s="27" customFormat="1" ht="15" customHeight="1" thickBot="1" x14ac:dyDescent="0.35">
      <c r="A15" s="5"/>
      <c r="B15" s="6" t="s">
        <v>12</v>
      </c>
      <c r="C15" s="15">
        <f>IFERROR(C14/C11,0)</f>
        <v>1.9839246119733924</v>
      </c>
      <c r="D15" s="15">
        <f>IFERROR(D14/D11,0)</f>
        <v>1.8912650531702622</v>
      </c>
      <c r="E15" s="39">
        <f>IFERROR(E14/E11,0)</f>
        <v>1.862798902391219</v>
      </c>
      <c r="F15" s="69">
        <f>IFERROR(E15-C15,0)</f>
        <v>-0.12112570958217339</v>
      </c>
      <c r="G15" s="15">
        <f>IFERROR(G14/G11,0)</f>
        <v>1.9661410500779761</v>
      </c>
      <c r="H15" s="69">
        <f>IFERROR(E15-G15,0)</f>
        <v>-0.10334214768675709</v>
      </c>
      <c r="I15" s="21"/>
      <c r="J15" s="22"/>
      <c r="K15" s="55">
        <f>IFERROR(K14/K11,0)</f>
        <v>1.8789220619478921</v>
      </c>
      <c r="L15" s="69">
        <f>IFERROR(E15-K15,0)</f>
        <v>-1.6123159556673095E-2</v>
      </c>
      <c r="M15" s="73"/>
      <c r="N15" s="74"/>
    </row>
    <row r="16" spans="1:14" s="27" customFormat="1" ht="5.0999999999999996" customHeight="1" thickBot="1" x14ac:dyDescent="0.35">
      <c r="A16" s="5"/>
      <c r="B16" s="6"/>
      <c r="C16" s="7"/>
      <c r="D16" s="7"/>
      <c r="E16" s="8"/>
      <c r="F16" s="69"/>
      <c r="G16" s="7"/>
      <c r="H16" s="69"/>
      <c r="I16" s="21"/>
      <c r="J16" s="22"/>
      <c r="K16" s="53"/>
      <c r="L16" s="69"/>
      <c r="M16" s="73"/>
      <c r="N16" s="74"/>
    </row>
    <row r="17" spans="1:14" s="27" customFormat="1" ht="15" customHeight="1" thickBot="1" x14ac:dyDescent="0.35">
      <c r="A17" s="5"/>
      <c r="B17" s="6" t="s">
        <v>13</v>
      </c>
      <c r="C17" s="15">
        <f>IFERROR(C6/C11,0)</f>
        <v>88.20824833702882</v>
      </c>
      <c r="D17" s="15">
        <f>IFERROR(D6/D11,0)</f>
        <v>64.940421136646407</v>
      </c>
      <c r="E17" s="39">
        <f>IFERROR(E6/E11,0)</f>
        <v>63.338952044949693</v>
      </c>
      <c r="F17" s="69">
        <f>IFERROR(E17-C17,0)</f>
        <v>-24.869296292079127</v>
      </c>
      <c r="G17" s="15">
        <f>IFERROR(G6/G11,0)</f>
        <v>63.612510830012127</v>
      </c>
      <c r="H17" s="69">
        <f>IFERROR(E17-G17,0)</f>
        <v>-0.27355878506243414</v>
      </c>
      <c r="I17" s="20">
        <f>IFERROR(E17/C17-1,0)</f>
        <v>-0.28193844409037294</v>
      </c>
      <c r="J17" s="11">
        <f>IFERROR(E17/G17-1,0)</f>
        <v>-4.3003928235665345E-3</v>
      </c>
      <c r="K17" s="55">
        <f>IFERROR(K6/K11,0)</f>
        <v>65.148607849714864</v>
      </c>
      <c r="L17" s="69">
        <f>IFERROR(E17-K17,0)</f>
        <v>-1.8096558047651712</v>
      </c>
      <c r="M17" s="73"/>
      <c r="N17" s="74"/>
    </row>
    <row r="18" spans="1:14" s="38" customFormat="1" ht="15" customHeight="1" thickBot="1" x14ac:dyDescent="0.35">
      <c r="A18" s="9"/>
      <c r="B18" s="10" t="s">
        <v>14</v>
      </c>
      <c r="C18" s="16">
        <f>IFERROR(C6/C10,0)</f>
        <v>37.844292237442922</v>
      </c>
      <c r="D18" s="16">
        <f>IFERROR(D6/D10,0)</f>
        <v>26.316562024353122</v>
      </c>
      <c r="E18" s="40">
        <f>IFERROR(E6/E10,0)</f>
        <v>23.056173896499239</v>
      </c>
      <c r="F18" s="70">
        <f t="shared" ref="F18:F19" si="4">IFERROR(E18-C18,0)</f>
        <v>-14.788118340943683</v>
      </c>
      <c r="G18" s="16">
        <f>IFERROR(G6/G10,0)</f>
        <v>17.4136593047966</v>
      </c>
      <c r="H18" s="70">
        <f t="shared" ref="H18:H19" si="5">IFERROR(E18-G18,0)</f>
        <v>5.6425145917026391</v>
      </c>
      <c r="I18" s="20">
        <f>IFERROR(E18/C18-1,0)</f>
        <v>-0.39076218543499153</v>
      </c>
      <c r="J18" s="11">
        <f>IFERROR(E18/G18-1,0)</f>
        <v>0.32402808008012451</v>
      </c>
      <c r="K18" s="56">
        <f>IFERROR(K6/K10,0)</f>
        <v>27.712328767123289</v>
      </c>
      <c r="L18" s="70">
        <f>IFERROR(E18-K18,0)</f>
        <v>-4.6561548706240501</v>
      </c>
      <c r="M18" s="73"/>
      <c r="N18" s="74"/>
    </row>
    <row r="19" spans="1:14" ht="15" customHeight="1" thickBot="1" x14ac:dyDescent="0.35">
      <c r="A19" s="17"/>
      <c r="B19" s="18" t="s">
        <v>34</v>
      </c>
      <c r="C19" s="19">
        <f>IFERROR(C5/C11,0)</f>
        <v>104.66037694013303</v>
      </c>
      <c r="D19" s="19">
        <f>IFERROR(D5/D11,0)</f>
        <v>79.824925467733991</v>
      </c>
      <c r="E19" s="19">
        <f>IFERROR(E5/E11,0)</f>
        <v>80.275421403371226</v>
      </c>
      <c r="F19" s="69">
        <f t="shared" si="4"/>
        <v>-24.384955536761808</v>
      </c>
      <c r="G19" s="19">
        <f>IFERROR(G5/G11,0)</f>
        <v>86.787662450181941</v>
      </c>
      <c r="H19" s="69">
        <f t="shared" si="5"/>
        <v>-6.5122410468107148</v>
      </c>
      <c r="I19" s="41">
        <f>IFERROR(E19/C19-1,0)</f>
        <v>-0.23299128332692987</v>
      </c>
      <c r="J19" s="42">
        <f>IFERROR(E19/G19-1,0)</f>
        <v>-7.5036484022701799E-2</v>
      </c>
      <c r="K19" s="57">
        <f>IFERROR(K5/K11,0)</f>
        <v>82.279212792127922</v>
      </c>
      <c r="L19" s="69">
        <f>IFERROR(E19-K19,0)</f>
        <v>-2.0037913887566958</v>
      </c>
      <c r="M19" s="73"/>
      <c r="N19" s="74"/>
    </row>
    <row r="20" spans="1:14" s="27" customFormat="1" ht="15" customHeight="1" thickBot="1" x14ac:dyDescent="0.35">
      <c r="A20" s="1"/>
      <c r="B20" s="2" t="s">
        <v>21</v>
      </c>
      <c r="C20" s="3">
        <f>SUM(C21:C23)</f>
        <v>0</v>
      </c>
      <c r="D20" s="3">
        <f>SUM(D21:D23)</f>
        <v>-870.30000000000018</v>
      </c>
      <c r="E20" s="4">
        <f>SUM(E21:E23)</f>
        <v>-870.30000000000018</v>
      </c>
      <c r="F20" s="71">
        <f>IFERROR(SUM(F21:F23),0)</f>
        <v>-870.30000000000018</v>
      </c>
      <c r="G20" s="3">
        <f>SUM(G21:G23)</f>
        <v>516646.7</v>
      </c>
      <c r="H20" s="71">
        <f>IFERROR(E20-G20,0)</f>
        <v>-517517</v>
      </c>
      <c r="I20" s="20">
        <f>IFERROR(E20/C20-1,0)</f>
        <v>0</v>
      </c>
      <c r="J20" s="11">
        <f>IFERROR(E20/G20-1,0)</f>
        <v>-1.0016845167113233</v>
      </c>
      <c r="K20" s="51">
        <f>SUM(K21:K23)</f>
        <v>-870.30000000000018</v>
      </c>
      <c r="L20" s="71">
        <f>IFERROR(SUM(L21:L23),0)</f>
        <v>0</v>
      </c>
      <c r="M20" s="73"/>
      <c r="N20" s="74"/>
    </row>
    <row r="21" spans="1:14" s="27" customFormat="1" ht="15" customHeight="1" thickBot="1" x14ac:dyDescent="0.35">
      <c r="A21" s="5"/>
      <c r="B21" s="6" t="s">
        <v>5</v>
      </c>
      <c r="C21" s="45">
        <v>0</v>
      </c>
      <c r="D21" s="45">
        <v>-1029.3800000000001</v>
      </c>
      <c r="E21" s="45">
        <v>-1029.3800000000001</v>
      </c>
      <c r="F21" s="67">
        <f>IFERROR(E21-C21,0)</f>
        <v>-1029.3800000000001</v>
      </c>
      <c r="G21" s="45">
        <v>417760.96</v>
      </c>
      <c r="H21" s="67">
        <f t="shared" ref="H21:H23" si="6">IFERROR(E21-G21,0)</f>
        <v>-418790.34</v>
      </c>
      <c r="I21" s="21">
        <f t="shared" ref="I21:I23" si="7">IFERROR(E21/C21-1,0)</f>
        <v>0</v>
      </c>
      <c r="J21" s="22">
        <f t="shared" ref="J21:J23" si="8">IFERROR(E21/G21-1,0)</f>
        <v>-1.0024640406801058</v>
      </c>
      <c r="K21" s="52">
        <v>-1029.3800000000001</v>
      </c>
      <c r="L21" s="67">
        <f>IFERROR(E21-K21,0)</f>
        <v>0</v>
      </c>
      <c r="M21" s="73"/>
      <c r="N21" s="74"/>
    </row>
    <row r="22" spans="1:14" s="27" customFormat="1" ht="15" customHeight="1" thickBot="1" x14ac:dyDescent="0.35">
      <c r="A22" s="5"/>
      <c r="B22" s="6" t="s">
        <v>6</v>
      </c>
      <c r="C22" s="45">
        <v>0</v>
      </c>
      <c r="D22" s="45">
        <v>-11.21</v>
      </c>
      <c r="E22" s="45">
        <v>-11.21</v>
      </c>
      <c r="F22" s="67">
        <f t="shared" ref="F22:F23" si="9">IFERROR(E22-C22,0)</f>
        <v>-11.21</v>
      </c>
      <c r="G22" s="45">
        <v>88344.37000000001</v>
      </c>
      <c r="H22" s="67">
        <f t="shared" si="6"/>
        <v>-88355.580000000016</v>
      </c>
      <c r="I22" s="21">
        <f t="shared" si="7"/>
        <v>0</v>
      </c>
      <c r="J22" s="22">
        <f t="shared" si="8"/>
        <v>-1.000126889806334</v>
      </c>
      <c r="K22" s="52">
        <v>-11.21</v>
      </c>
      <c r="L22" s="67">
        <f>IFERROR(E22-K22,0)</f>
        <v>0</v>
      </c>
      <c r="M22" s="73"/>
      <c r="N22" s="74"/>
    </row>
    <row r="23" spans="1:14" s="27" customFormat="1" ht="15" customHeight="1" thickBot="1" x14ac:dyDescent="0.35">
      <c r="A23" s="5"/>
      <c r="B23" s="6" t="s">
        <v>7</v>
      </c>
      <c r="C23" s="45">
        <v>0</v>
      </c>
      <c r="D23" s="45">
        <v>170.29</v>
      </c>
      <c r="E23" s="45">
        <v>170.29</v>
      </c>
      <c r="F23" s="67">
        <f t="shared" si="9"/>
        <v>170.29</v>
      </c>
      <c r="G23" s="45">
        <v>10541.37</v>
      </c>
      <c r="H23" s="67">
        <f t="shared" si="6"/>
        <v>-10371.08</v>
      </c>
      <c r="I23" s="21">
        <f t="shared" si="7"/>
        <v>0</v>
      </c>
      <c r="J23" s="22">
        <f t="shared" si="8"/>
        <v>-0.98384555328197376</v>
      </c>
      <c r="K23" s="52">
        <v>170.29</v>
      </c>
      <c r="L23" s="67">
        <f>IFERROR(E23-K23,0)</f>
        <v>0</v>
      </c>
      <c r="M23" s="73"/>
      <c r="N23" s="74"/>
    </row>
    <row r="24" spans="1:14" s="27" customFormat="1" ht="5.0999999999999996" customHeight="1" thickBot="1" x14ac:dyDescent="0.35">
      <c r="A24" s="5"/>
      <c r="B24" s="6"/>
      <c r="C24" s="7"/>
      <c r="D24" s="7"/>
      <c r="E24" s="8"/>
      <c r="F24" s="67"/>
      <c r="G24" s="7"/>
      <c r="H24" s="67"/>
      <c r="I24" s="21"/>
      <c r="J24" s="21"/>
      <c r="K24" s="53"/>
      <c r="L24" s="67"/>
      <c r="M24" s="73"/>
      <c r="N24" s="74"/>
    </row>
    <row r="25" spans="1:14" s="27" customFormat="1" ht="15" customHeight="1" thickBot="1" x14ac:dyDescent="0.35">
      <c r="A25" s="5"/>
      <c r="B25" s="6" t="s">
        <v>8</v>
      </c>
      <c r="C25" s="45">
        <v>8928</v>
      </c>
      <c r="D25" s="45">
        <v>8928</v>
      </c>
      <c r="E25" s="46">
        <v>8928</v>
      </c>
      <c r="F25" s="67">
        <f>IFERROR(E25-C25,0)</f>
        <v>0</v>
      </c>
      <c r="G25" s="45">
        <v>8928</v>
      </c>
      <c r="H25" s="67">
        <f>IFERROR(E25-G25,0)</f>
        <v>0</v>
      </c>
      <c r="I25" s="23"/>
      <c r="J25" s="24"/>
      <c r="K25" s="52">
        <v>8928</v>
      </c>
      <c r="L25" s="67">
        <f>IFERROR(E25-K25,0)</f>
        <v>0</v>
      </c>
      <c r="M25" s="73"/>
      <c r="N25" s="74"/>
    </row>
    <row r="26" spans="1:14" s="27" customFormat="1" ht="15" customHeight="1" thickBot="1" x14ac:dyDescent="0.35">
      <c r="A26" s="5"/>
      <c r="B26" s="6" t="s">
        <v>9</v>
      </c>
      <c r="C26" s="45">
        <v>0</v>
      </c>
      <c r="D26" s="45">
        <v>0</v>
      </c>
      <c r="E26" s="46">
        <v>0</v>
      </c>
      <c r="F26" s="67">
        <f>IFERROR(E26-C26,0)</f>
        <v>0</v>
      </c>
      <c r="G26" s="45">
        <v>6701</v>
      </c>
      <c r="H26" s="67">
        <f>IFERROR(E26-G26,0)</f>
        <v>-6701</v>
      </c>
      <c r="I26" s="23"/>
      <c r="J26" s="24"/>
      <c r="K26" s="52">
        <v>0</v>
      </c>
      <c r="L26" s="67">
        <f>IFERROR(E26-K26,0)</f>
        <v>0</v>
      </c>
      <c r="M26" s="73"/>
      <c r="N26" s="74"/>
    </row>
    <row r="27" spans="1:14" s="38" customFormat="1" ht="15" customHeight="1" thickBot="1" x14ac:dyDescent="0.35">
      <c r="A27" s="9"/>
      <c r="B27" s="10" t="s">
        <v>10</v>
      </c>
      <c r="C27" s="11">
        <f>IFERROR(C26/C25,0)</f>
        <v>0</v>
      </c>
      <c r="D27" s="11">
        <f>IFERROR(D26/D25,0)</f>
        <v>0</v>
      </c>
      <c r="E27" s="11">
        <f>IFERROR(E26/E25,0)</f>
        <v>0</v>
      </c>
      <c r="F27" s="68">
        <f>IFERROR(E27-C27,0)</f>
        <v>0</v>
      </c>
      <c r="G27" s="11">
        <f>IFERROR(G26/G25,0)</f>
        <v>0.75056003584229392</v>
      </c>
      <c r="H27" s="68">
        <f>IFERROR(E27-G27,0)</f>
        <v>-0.75056003584229392</v>
      </c>
      <c r="I27" s="20">
        <f>IFERROR(E27/C27-1,0)</f>
        <v>0</v>
      </c>
      <c r="J27" s="11">
        <f>IFERROR(E27/G27-1,0)</f>
        <v>-1</v>
      </c>
      <c r="K27" s="12">
        <f>IFERROR(K26/K25,0)</f>
        <v>0</v>
      </c>
      <c r="L27" s="68">
        <f>IFERROR(E27-K27,0)</f>
        <v>0</v>
      </c>
      <c r="M27" s="73"/>
      <c r="N27" s="74"/>
    </row>
    <row r="28" spans="1:14" s="27" customFormat="1" ht="5.0999999999999996" customHeight="1" thickBot="1" x14ac:dyDescent="0.35">
      <c r="A28" s="5"/>
      <c r="B28" s="6"/>
      <c r="C28" s="7"/>
      <c r="D28" s="13"/>
      <c r="E28" s="14"/>
      <c r="F28" s="67"/>
      <c r="G28" s="13"/>
      <c r="H28" s="67"/>
      <c r="I28" s="21"/>
      <c r="J28" s="22"/>
      <c r="K28" s="54"/>
      <c r="L28" s="67"/>
      <c r="M28" s="73"/>
      <c r="N28" s="74"/>
    </row>
    <row r="29" spans="1:14" s="27" customFormat="1" ht="15" customHeight="1" thickBot="1" x14ac:dyDescent="0.35">
      <c r="A29" s="5"/>
      <c r="B29" s="6" t="s">
        <v>11</v>
      </c>
      <c r="C29" s="45">
        <v>0</v>
      </c>
      <c r="D29" s="45">
        <v>0</v>
      </c>
      <c r="E29" s="46">
        <v>0</v>
      </c>
      <c r="F29" s="67">
        <f>IFERROR(E29-C29,0)</f>
        <v>0</v>
      </c>
      <c r="G29" s="45">
        <v>11948</v>
      </c>
      <c r="H29" s="67">
        <f>IFERROR(E29-G29,0)</f>
        <v>-11948</v>
      </c>
      <c r="I29" s="21"/>
      <c r="J29" s="22"/>
      <c r="K29" s="52">
        <v>0</v>
      </c>
      <c r="L29" s="67">
        <f>IFERROR(E29-K29,0)</f>
        <v>0</v>
      </c>
      <c r="M29" s="73"/>
      <c r="N29" s="74"/>
    </row>
    <row r="30" spans="1:14" s="27" customFormat="1" ht="15" customHeight="1" thickBot="1" x14ac:dyDescent="0.35">
      <c r="A30" s="5"/>
      <c r="B30" s="6" t="s">
        <v>12</v>
      </c>
      <c r="C30" s="15">
        <f>IFERROR(C29/C26,0)</f>
        <v>0</v>
      </c>
      <c r="D30" s="15">
        <f>IFERROR(D29/D26,0)</f>
        <v>0</v>
      </c>
      <c r="E30" s="15">
        <f>IFERROR(E29/E26,0)</f>
        <v>0</v>
      </c>
      <c r="F30" s="69">
        <f>IFERROR(E30-C30,0)</f>
        <v>0</v>
      </c>
      <c r="G30" s="15">
        <f>IFERROR(G29/G26,0)</f>
        <v>1.783017460080585</v>
      </c>
      <c r="H30" s="69">
        <f>IFERROR(E30-G30,0)</f>
        <v>-1.783017460080585</v>
      </c>
      <c r="I30" s="21"/>
      <c r="J30" s="22"/>
      <c r="K30" s="55">
        <f>IFERROR(K29/K26,0)</f>
        <v>0</v>
      </c>
      <c r="L30" s="69">
        <f>IFERROR(E30-K30,0)</f>
        <v>0</v>
      </c>
      <c r="M30" s="73"/>
      <c r="N30" s="74"/>
    </row>
    <row r="31" spans="1:14" s="27" customFormat="1" ht="5.0999999999999996" customHeight="1" thickBot="1" x14ac:dyDescent="0.35">
      <c r="A31" s="5"/>
      <c r="B31" s="6"/>
      <c r="C31" s="7"/>
      <c r="D31" s="13"/>
      <c r="E31" s="14"/>
      <c r="F31" s="69"/>
      <c r="G31" s="13"/>
      <c r="H31" s="69"/>
      <c r="I31" s="21"/>
      <c r="J31" s="22"/>
      <c r="K31" s="54"/>
      <c r="L31" s="69"/>
      <c r="M31" s="73"/>
      <c r="N31" s="74"/>
    </row>
    <row r="32" spans="1:14" s="27" customFormat="1" ht="15" customHeight="1" thickBot="1" x14ac:dyDescent="0.35">
      <c r="A32" s="5"/>
      <c r="B32" s="6" t="s">
        <v>13</v>
      </c>
      <c r="C32" s="15">
        <f>IFERROR(C21/C26,0)</f>
        <v>0</v>
      </c>
      <c r="D32" s="15">
        <f>IFERROR(D21/D26,0)</f>
        <v>0</v>
      </c>
      <c r="E32" s="15">
        <f>IFERROR(E21/E26,0)</f>
        <v>0</v>
      </c>
      <c r="F32" s="69">
        <f>IFERROR(E32-C32,0)</f>
        <v>0</v>
      </c>
      <c r="G32" s="15">
        <f>IFERROR(G21/G26,0)</f>
        <v>62.343077152663781</v>
      </c>
      <c r="H32" s="69">
        <f>IFERROR(E32-G32,0)</f>
        <v>-62.343077152663781</v>
      </c>
      <c r="I32" s="21">
        <f>IFERROR(E32/C32-1,0)</f>
        <v>0</v>
      </c>
      <c r="J32" s="22">
        <f>IFERROR(E32/G32-1,0)</f>
        <v>-1</v>
      </c>
      <c r="K32" s="55">
        <f>IFERROR(K21/K26,0)</f>
        <v>0</v>
      </c>
      <c r="L32" s="69">
        <f>IFERROR(E32-K32,0)</f>
        <v>0</v>
      </c>
      <c r="M32" s="73"/>
      <c r="N32" s="74"/>
    </row>
    <row r="33" spans="1:14" s="38" customFormat="1" ht="15" customHeight="1" thickBot="1" x14ac:dyDescent="0.35">
      <c r="A33" s="9"/>
      <c r="B33" s="10" t="s">
        <v>14</v>
      </c>
      <c r="C33" s="16">
        <f>IFERROR(C21/C25,0)</f>
        <v>0</v>
      </c>
      <c r="D33" s="16">
        <f>IFERROR(D21/D25,0)</f>
        <v>-0.11529793906810037</v>
      </c>
      <c r="E33" s="16">
        <f>IFERROR(E21/E25,0)</f>
        <v>-0.11529793906810037</v>
      </c>
      <c r="F33" s="70">
        <f t="shared" ref="F33:F34" si="10">IFERROR(E33-C33,0)</f>
        <v>-0.11529793906810037</v>
      </c>
      <c r="G33" s="16">
        <f>IFERROR(G21/G25,0)</f>
        <v>46.792222222222222</v>
      </c>
      <c r="H33" s="70">
        <f t="shared" ref="H33:H34" si="11">IFERROR(E33-G33,0)</f>
        <v>-46.907520161290321</v>
      </c>
      <c r="I33" s="20">
        <f>IFERROR(E33/C33-1,0)</f>
        <v>0</v>
      </c>
      <c r="J33" s="11">
        <f>IFERROR(E33/G33-1,0)</f>
        <v>-1.0024640406801058</v>
      </c>
      <c r="K33" s="56">
        <f>IFERROR(K21/K25,0)</f>
        <v>-0.11529793906810037</v>
      </c>
      <c r="L33" s="70">
        <f>IFERROR(E33-K33,0)</f>
        <v>0</v>
      </c>
      <c r="M33" s="73"/>
      <c r="N33" s="74"/>
    </row>
    <row r="34" spans="1:14" ht="15" customHeight="1" thickBot="1" x14ac:dyDescent="0.35">
      <c r="A34" s="17"/>
      <c r="B34" s="18" t="s">
        <v>34</v>
      </c>
      <c r="C34" s="19">
        <f>IFERROR(C20/C26,0)</f>
        <v>0</v>
      </c>
      <c r="D34" s="19">
        <f>IFERROR(D20/D26,0)</f>
        <v>0</v>
      </c>
      <c r="E34" s="19">
        <f>IFERROR(E20/E26,0)</f>
        <v>0</v>
      </c>
      <c r="F34" s="72">
        <f t="shared" si="10"/>
        <v>0</v>
      </c>
      <c r="G34" s="19">
        <f>IFERROR(G20/G26,0)</f>
        <v>77.099940307416801</v>
      </c>
      <c r="H34" s="72">
        <f t="shared" si="11"/>
        <v>-77.099940307416801</v>
      </c>
      <c r="I34" s="25">
        <f>IFERROR(E34/C34-1,0)</f>
        <v>0</v>
      </c>
      <c r="J34" s="26">
        <f>IFERROR(E34/G34-1,0)</f>
        <v>-1</v>
      </c>
      <c r="K34" s="57">
        <f>IFERROR(K20/K26,0)</f>
        <v>0</v>
      </c>
      <c r="L34" s="72">
        <f>IFERROR(E34-K34,0)</f>
        <v>0</v>
      </c>
      <c r="M34" s="73"/>
      <c r="N34" s="74"/>
    </row>
    <row r="35" spans="1:14" s="27" customFormat="1" ht="15" customHeight="1" thickBot="1" x14ac:dyDescent="0.35">
      <c r="A35" s="1"/>
      <c r="B35" s="2" t="s">
        <v>22</v>
      </c>
      <c r="C35" s="3">
        <f>SUM(C36:C38)</f>
        <v>0</v>
      </c>
      <c r="D35" s="3">
        <f>SUM(D36:D38)</f>
        <v>-393.61</v>
      </c>
      <c r="E35" s="4">
        <f>SUM(E36:E38)</f>
        <v>-393.61</v>
      </c>
      <c r="F35" s="71">
        <f>IFERROR(SUM(F36:F38),0)</f>
        <v>-393.61</v>
      </c>
      <c r="G35" s="3">
        <f>SUM(G36:G38)</f>
        <v>680084.06</v>
      </c>
      <c r="H35" s="71">
        <f>IFERROR(E35-G35,0)</f>
        <v>-680477.67</v>
      </c>
      <c r="I35" s="20">
        <f>IFERROR(E35/C35-1,0)</f>
        <v>0</v>
      </c>
      <c r="J35" s="11">
        <f>IFERROR(E35/G35-1,0)</f>
        <v>-1.0005787666895178</v>
      </c>
      <c r="K35" s="51">
        <f>SUM(K36:K38)</f>
        <v>-393.61</v>
      </c>
      <c r="L35" s="71">
        <f>IFERROR(SUM(L36:L38),0)</f>
        <v>0</v>
      </c>
      <c r="M35" s="73"/>
      <c r="N35" s="74"/>
    </row>
    <row r="36" spans="1:14" s="27" customFormat="1" ht="15" customHeight="1" thickBot="1" x14ac:dyDescent="0.35">
      <c r="A36" s="5"/>
      <c r="B36" s="6" t="s">
        <v>5</v>
      </c>
      <c r="C36" s="45">
        <v>0</v>
      </c>
      <c r="D36" s="45">
        <v>0</v>
      </c>
      <c r="E36" s="45">
        <v>0</v>
      </c>
      <c r="F36" s="67">
        <f>IFERROR(E36-C36,0)</f>
        <v>0</v>
      </c>
      <c r="G36" s="45">
        <v>552070.37</v>
      </c>
      <c r="H36" s="67">
        <f t="shared" ref="H36:H38" si="12">IFERROR(E36-G36,0)</f>
        <v>-552070.37</v>
      </c>
      <c r="I36" s="21">
        <f t="shared" ref="I36:I38" si="13">IFERROR(E36/C36-1,0)</f>
        <v>0</v>
      </c>
      <c r="J36" s="22">
        <f t="shared" ref="J36:J38" si="14">IFERROR(E36/G36-1,0)</f>
        <v>-1</v>
      </c>
      <c r="K36" s="52">
        <v>0</v>
      </c>
      <c r="L36" s="67">
        <f>IFERROR(E36-K36,0)</f>
        <v>0</v>
      </c>
      <c r="M36" s="73"/>
      <c r="N36" s="74"/>
    </row>
    <row r="37" spans="1:14" s="27" customFormat="1" ht="15" customHeight="1" thickBot="1" x14ac:dyDescent="0.35">
      <c r="A37" s="5"/>
      <c r="B37" s="6" t="s">
        <v>6</v>
      </c>
      <c r="C37" s="45">
        <v>0</v>
      </c>
      <c r="D37" s="45">
        <v>0</v>
      </c>
      <c r="E37" s="45">
        <v>0</v>
      </c>
      <c r="F37" s="67">
        <f t="shared" ref="F37:F38" si="15">IFERROR(E37-C37,0)</f>
        <v>0</v>
      </c>
      <c r="G37" s="45">
        <v>103576.92</v>
      </c>
      <c r="H37" s="67">
        <f t="shared" si="12"/>
        <v>-103576.92</v>
      </c>
      <c r="I37" s="21">
        <f t="shared" si="13"/>
        <v>0</v>
      </c>
      <c r="J37" s="22">
        <f t="shared" si="14"/>
        <v>-1</v>
      </c>
      <c r="K37" s="52">
        <v>0</v>
      </c>
      <c r="L37" s="67">
        <f>IFERROR(E37-K37,0)</f>
        <v>0</v>
      </c>
      <c r="M37" s="73"/>
      <c r="N37" s="74"/>
    </row>
    <row r="38" spans="1:14" s="27" customFormat="1" ht="15" customHeight="1" thickBot="1" x14ac:dyDescent="0.35">
      <c r="A38" s="5"/>
      <c r="B38" s="6" t="s">
        <v>7</v>
      </c>
      <c r="C38" s="45">
        <v>0</v>
      </c>
      <c r="D38" s="45">
        <v>-393.61</v>
      </c>
      <c r="E38" s="45">
        <v>-393.61</v>
      </c>
      <c r="F38" s="67">
        <f t="shared" si="15"/>
        <v>-393.61</v>
      </c>
      <c r="G38" s="45">
        <v>24436.77</v>
      </c>
      <c r="H38" s="67">
        <f t="shared" si="12"/>
        <v>-24830.38</v>
      </c>
      <c r="I38" s="21">
        <f t="shared" si="13"/>
        <v>0</v>
      </c>
      <c r="J38" s="22">
        <f t="shared" si="14"/>
        <v>-1.0161072842278256</v>
      </c>
      <c r="K38" s="52">
        <v>-393.61</v>
      </c>
      <c r="L38" s="67">
        <f>IFERROR(E38-K38,0)</f>
        <v>0</v>
      </c>
      <c r="M38" s="73"/>
      <c r="N38" s="74"/>
    </row>
    <row r="39" spans="1:14" s="27" customFormat="1" ht="5.0999999999999996" customHeight="1" thickBot="1" x14ac:dyDescent="0.35">
      <c r="A39" s="5"/>
      <c r="B39" s="6"/>
      <c r="C39" s="7"/>
      <c r="D39" s="7"/>
      <c r="E39" s="8"/>
      <c r="F39" s="67"/>
      <c r="G39" s="7"/>
      <c r="H39" s="67"/>
      <c r="I39" s="21"/>
      <c r="J39" s="21"/>
      <c r="K39" s="53"/>
      <c r="L39" s="67"/>
      <c r="M39" s="73"/>
      <c r="N39" s="74"/>
    </row>
    <row r="40" spans="1:14" s="27" customFormat="1" ht="15" customHeight="1" thickBot="1" x14ac:dyDescent="0.35">
      <c r="A40" s="5"/>
      <c r="B40" s="6" t="s">
        <v>8</v>
      </c>
      <c r="C40" s="45">
        <v>8064</v>
      </c>
      <c r="D40" s="45">
        <v>8064</v>
      </c>
      <c r="E40" s="46">
        <v>8064</v>
      </c>
      <c r="F40" s="67">
        <f>IFERROR(E40-C40,0)</f>
        <v>0</v>
      </c>
      <c r="G40" s="45">
        <v>8352</v>
      </c>
      <c r="H40" s="67">
        <f>IFERROR(E40-G40,0)</f>
        <v>-288</v>
      </c>
      <c r="I40" s="23"/>
      <c r="J40" s="24"/>
      <c r="K40" s="52">
        <v>8064</v>
      </c>
      <c r="L40" s="67">
        <f>IFERROR(E40-K40,0)</f>
        <v>0</v>
      </c>
      <c r="M40" s="73"/>
      <c r="N40" s="74"/>
    </row>
    <row r="41" spans="1:14" s="27" customFormat="1" ht="15" customHeight="1" thickBot="1" x14ac:dyDescent="0.35">
      <c r="A41" s="5"/>
      <c r="B41" s="6" t="s">
        <v>9</v>
      </c>
      <c r="C41" s="45">
        <v>0</v>
      </c>
      <c r="D41" s="45">
        <v>0</v>
      </c>
      <c r="E41" s="46">
        <v>0</v>
      </c>
      <c r="F41" s="67">
        <f>IFERROR(E41-C41,0)</f>
        <v>0</v>
      </c>
      <c r="G41" s="45">
        <v>7396</v>
      </c>
      <c r="H41" s="67">
        <f>IFERROR(E41-G41,0)</f>
        <v>-7396</v>
      </c>
      <c r="I41" s="23"/>
      <c r="J41" s="24"/>
      <c r="K41" s="52">
        <v>0</v>
      </c>
      <c r="L41" s="67">
        <f>IFERROR(E41-K41,0)</f>
        <v>0</v>
      </c>
      <c r="M41" s="73"/>
      <c r="N41" s="74"/>
    </row>
    <row r="42" spans="1:14" s="38" customFormat="1" ht="15" customHeight="1" thickBot="1" x14ac:dyDescent="0.35">
      <c r="A42" s="9"/>
      <c r="B42" s="10" t="s">
        <v>10</v>
      </c>
      <c r="C42" s="11">
        <f>IFERROR(C41/C40,0)</f>
        <v>0</v>
      </c>
      <c r="D42" s="11">
        <f>IFERROR(D41/D40,0)</f>
        <v>0</v>
      </c>
      <c r="E42" s="11">
        <f>IFERROR(E41/E40,0)</f>
        <v>0</v>
      </c>
      <c r="F42" s="68">
        <f>IFERROR(E42-C42,0)</f>
        <v>0</v>
      </c>
      <c r="G42" s="11">
        <f>IFERROR(G41/G40,0)</f>
        <v>0.88553639846743293</v>
      </c>
      <c r="H42" s="68">
        <f>IFERROR(E42-G42,0)</f>
        <v>-0.88553639846743293</v>
      </c>
      <c r="I42" s="20">
        <f>IFERROR(E42/C42-1,0)</f>
        <v>0</v>
      </c>
      <c r="J42" s="11">
        <f>IFERROR(E42/G42-1,0)</f>
        <v>-1</v>
      </c>
      <c r="K42" s="12">
        <f>IFERROR(K41/K40,0)</f>
        <v>0</v>
      </c>
      <c r="L42" s="68">
        <f>IFERROR(E42-K42,0)</f>
        <v>0</v>
      </c>
      <c r="M42" s="73"/>
      <c r="N42" s="74"/>
    </row>
    <row r="43" spans="1:14" s="27" customFormat="1" ht="5.0999999999999996" customHeight="1" thickBot="1" x14ac:dyDescent="0.35">
      <c r="A43" s="5"/>
      <c r="B43" s="6"/>
      <c r="C43" s="7"/>
      <c r="D43" s="13"/>
      <c r="E43" s="14"/>
      <c r="F43" s="67"/>
      <c r="G43" s="13"/>
      <c r="H43" s="67"/>
      <c r="I43" s="21"/>
      <c r="J43" s="22"/>
      <c r="K43" s="54"/>
      <c r="L43" s="67"/>
      <c r="M43" s="73"/>
      <c r="N43" s="74"/>
    </row>
    <row r="44" spans="1:14" s="27" customFormat="1" ht="15" customHeight="1" thickBot="1" x14ac:dyDescent="0.35">
      <c r="A44" s="5"/>
      <c r="B44" s="6" t="s">
        <v>11</v>
      </c>
      <c r="C44" s="45">
        <v>0</v>
      </c>
      <c r="D44" s="45">
        <v>0</v>
      </c>
      <c r="E44" s="46">
        <v>0</v>
      </c>
      <c r="F44" s="67">
        <f>IFERROR(E44-C44,0)</f>
        <v>0</v>
      </c>
      <c r="G44" s="45">
        <v>13685</v>
      </c>
      <c r="H44" s="67">
        <f>IFERROR(E44-G44,0)</f>
        <v>-13685</v>
      </c>
      <c r="I44" s="21"/>
      <c r="J44" s="22"/>
      <c r="K44" s="52">
        <v>0</v>
      </c>
      <c r="L44" s="67">
        <f>IFERROR(E44-K44,0)</f>
        <v>0</v>
      </c>
      <c r="M44" s="73"/>
      <c r="N44" s="74"/>
    </row>
    <row r="45" spans="1:14" s="27" customFormat="1" ht="15" customHeight="1" thickBot="1" x14ac:dyDescent="0.35">
      <c r="A45" s="5"/>
      <c r="B45" s="6" t="s">
        <v>12</v>
      </c>
      <c r="C45" s="15">
        <f>IFERROR(C44/C41,0)</f>
        <v>0</v>
      </c>
      <c r="D45" s="15">
        <f>IFERROR(D44/D41,0)</f>
        <v>0</v>
      </c>
      <c r="E45" s="15">
        <f>IFERROR(E44/E41,0)</f>
        <v>0</v>
      </c>
      <c r="F45" s="69">
        <f>IFERROR(E45-C45,0)</f>
        <v>0</v>
      </c>
      <c r="G45" s="15">
        <f>IFERROR(G44/G41,0)</f>
        <v>1.8503244997295836</v>
      </c>
      <c r="H45" s="69">
        <f>IFERROR(E45-G45,0)</f>
        <v>-1.8503244997295836</v>
      </c>
      <c r="I45" s="21"/>
      <c r="J45" s="22"/>
      <c r="K45" s="55">
        <f>IFERROR(K44/K41,0)</f>
        <v>0</v>
      </c>
      <c r="L45" s="69">
        <f>IFERROR(E45-K45,0)</f>
        <v>0</v>
      </c>
      <c r="M45" s="73"/>
      <c r="N45" s="74"/>
    </row>
    <row r="46" spans="1:14" s="27" customFormat="1" ht="5.0999999999999996" customHeight="1" thickBot="1" x14ac:dyDescent="0.35">
      <c r="A46" s="5"/>
      <c r="B46" s="6"/>
      <c r="C46" s="7"/>
      <c r="D46" s="13"/>
      <c r="E46" s="14"/>
      <c r="F46" s="69"/>
      <c r="G46" s="13"/>
      <c r="H46" s="69"/>
      <c r="I46" s="21"/>
      <c r="J46" s="22"/>
      <c r="K46" s="54"/>
      <c r="L46" s="69"/>
      <c r="M46" s="73"/>
      <c r="N46" s="74"/>
    </row>
    <row r="47" spans="1:14" s="27" customFormat="1" ht="15" customHeight="1" thickBot="1" x14ac:dyDescent="0.35">
      <c r="A47" s="5"/>
      <c r="B47" s="6" t="s">
        <v>13</v>
      </c>
      <c r="C47" s="15">
        <f>IFERROR(C36/C41,0)</f>
        <v>0</v>
      </c>
      <c r="D47" s="15">
        <f>IFERROR(D36/D41,0)</f>
        <v>0</v>
      </c>
      <c r="E47" s="15">
        <f>IFERROR(E36/E41,0)</f>
        <v>0</v>
      </c>
      <c r="F47" s="69">
        <f>IFERROR(E47-C47,0)</f>
        <v>0</v>
      </c>
      <c r="G47" s="15">
        <f>IFERROR(G36/G41,0)</f>
        <v>74.644452406706321</v>
      </c>
      <c r="H47" s="69">
        <f>IFERROR(E47-G47,0)</f>
        <v>-74.644452406706321</v>
      </c>
      <c r="I47" s="21">
        <f>IFERROR(E47/C47-1,0)</f>
        <v>0</v>
      </c>
      <c r="J47" s="22">
        <f>IFERROR(E47/G47-1,0)</f>
        <v>-1</v>
      </c>
      <c r="K47" s="55">
        <f>IFERROR(K36/K41,0)</f>
        <v>0</v>
      </c>
      <c r="L47" s="69">
        <f>IFERROR(E47-K47,0)</f>
        <v>0</v>
      </c>
      <c r="M47" s="73"/>
      <c r="N47" s="74"/>
    </row>
    <row r="48" spans="1:14" s="38" customFormat="1" ht="15" customHeight="1" thickBot="1" x14ac:dyDescent="0.35">
      <c r="A48" s="9"/>
      <c r="B48" s="10" t="s">
        <v>14</v>
      </c>
      <c r="C48" s="16">
        <f>IFERROR(C36/C40,0)</f>
        <v>0</v>
      </c>
      <c r="D48" s="16">
        <f>IFERROR(D36/D40,0)</f>
        <v>0</v>
      </c>
      <c r="E48" s="16">
        <f>IFERROR(E36/E40,0)</f>
        <v>0</v>
      </c>
      <c r="F48" s="70">
        <f t="shared" ref="F48:F49" si="16">IFERROR(E48-C48,0)</f>
        <v>0</v>
      </c>
      <c r="G48" s="16">
        <f>IFERROR(G36/G40,0)</f>
        <v>66.100379549808423</v>
      </c>
      <c r="H48" s="70">
        <f t="shared" ref="H48:H49" si="17">IFERROR(E48-G48,0)</f>
        <v>-66.100379549808423</v>
      </c>
      <c r="I48" s="20">
        <f>IFERROR(E48/C48-1,0)</f>
        <v>0</v>
      </c>
      <c r="J48" s="11">
        <f>IFERROR(E48/G48-1,0)</f>
        <v>-1</v>
      </c>
      <c r="K48" s="56">
        <f>IFERROR(K36/K40,0)</f>
        <v>0</v>
      </c>
      <c r="L48" s="70">
        <f>IFERROR(E48-K48,0)</f>
        <v>0</v>
      </c>
      <c r="M48" s="73"/>
      <c r="N48" s="74"/>
    </row>
    <row r="49" spans="1:14" ht="15" customHeight="1" thickBot="1" x14ac:dyDescent="0.35">
      <c r="A49" s="17"/>
      <c r="B49" s="18" t="s">
        <v>34</v>
      </c>
      <c r="C49" s="19">
        <f>IFERROR(C35/C41,0)</f>
        <v>0</v>
      </c>
      <c r="D49" s="19">
        <f>IFERROR(D35/D41,0)</f>
        <v>0</v>
      </c>
      <c r="E49" s="19">
        <f>IFERROR(E35/E41,0)</f>
        <v>0</v>
      </c>
      <c r="F49" s="72">
        <f t="shared" si="16"/>
        <v>0</v>
      </c>
      <c r="G49" s="19">
        <f>IFERROR(G35/G41,0)</f>
        <v>91.952955651703633</v>
      </c>
      <c r="H49" s="72">
        <f t="shared" si="17"/>
        <v>-91.952955651703633</v>
      </c>
      <c r="I49" s="25">
        <f>IFERROR(E49/C49-1,0)</f>
        <v>0</v>
      </c>
      <c r="J49" s="26">
        <f>IFERROR(E49/G49-1,0)</f>
        <v>-1</v>
      </c>
      <c r="K49" s="57">
        <f>IFERROR(K35/K41,0)</f>
        <v>0</v>
      </c>
      <c r="L49" s="72">
        <f>IFERROR(E49-K49,0)</f>
        <v>0</v>
      </c>
      <c r="M49" s="73"/>
      <c r="N49" s="74"/>
    </row>
    <row r="50" spans="1:14" s="27" customFormat="1" ht="15" customHeight="1" thickBot="1" x14ac:dyDescent="0.35">
      <c r="A50" s="1"/>
      <c r="B50" s="2" t="s">
        <v>23</v>
      </c>
      <c r="C50" s="3">
        <f>SUM(C51:C53)</f>
        <v>0</v>
      </c>
      <c r="D50" s="3">
        <f>SUM(D51:D53)</f>
        <v>222.98</v>
      </c>
      <c r="E50" s="4">
        <f>SUM(E51:E53)</f>
        <v>222.98</v>
      </c>
      <c r="F50" s="71">
        <f>IFERROR(SUM(F51:F53),0)</f>
        <v>222.98</v>
      </c>
      <c r="G50" s="3">
        <f>SUM(G51:G53)</f>
        <v>343594.07999999996</v>
      </c>
      <c r="H50" s="71">
        <f>IFERROR(E50-G50,0)</f>
        <v>-343371.1</v>
      </c>
      <c r="I50" s="20">
        <f>IFERROR(E50/C50-1,0)</f>
        <v>0</v>
      </c>
      <c r="J50" s="11">
        <f>IFERROR(E50/G50-1,0)</f>
        <v>-0.99935103654870883</v>
      </c>
      <c r="K50" s="51">
        <f>SUM(K51:K53)</f>
        <v>222.98</v>
      </c>
      <c r="L50" s="71">
        <f>IFERROR(SUM(L51:L53),0)</f>
        <v>0</v>
      </c>
      <c r="M50" s="73"/>
      <c r="N50" s="74"/>
    </row>
    <row r="51" spans="1:14" s="27" customFormat="1" ht="15" customHeight="1" thickBot="1" x14ac:dyDescent="0.35">
      <c r="A51" s="5"/>
      <c r="B51" s="6" t="s">
        <v>5</v>
      </c>
      <c r="C51" s="45">
        <v>0</v>
      </c>
      <c r="D51" s="45">
        <v>188.29</v>
      </c>
      <c r="E51" s="45">
        <v>188.29</v>
      </c>
      <c r="F51" s="67">
        <f>IFERROR(E51-C51,0)</f>
        <v>188.29</v>
      </c>
      <c r="G51" s="45">
        <v>185558.86</v>
      </c>
      <c r="H51" s="67">
        <f t="shared" ref="H51:H53" si="18">IFERROR(E51-G51,0)</f>
        <v>-185370.56999999998</v>
      </c>
      <c r="I51" s="21">
        <f t="shared" ref="I51:I53" si="19">IFERROR(E51/C51-1,0)</f>
        <v>0</v>
      </c>
      <c r="J51" s="22">
        <f t="shared" ref="J51:J53" si="20">IFERROR(E51/G51-1,0)</f>
        <v>-0.99898528154354904</v>
      </c>
      <c r="K51" s="52">
        <v>188.29</v>
      </c>
      <c r="L51" s="67">
        <f>IFERROR(E51-K51,0)</f>
        <v>0</v>
      </c>
      <c r="M51" s="73"/>
      <c r="N51" s="74"/>
    </row>
    <row r="52" spans="1:14" s="27" customFormat="1" ht="15" customHeight="1" thickBot="1" x14ac:dyDescent="0.35">
      <c r="A52" s="5"/>
      <c r="B52" s="6" t="s">
        <v>6</v>
      </c>
      <c r="C52" s="45">
        <v>0</v>
      </c>
      <c r="D52" s="45">
        <v>28.04</v>
      </c>
      <c r="E52" s="45">
        <v>28.04</v>
      </c>
      <c r="F52" s="67">
        <f t="shared" ref="F52:F53" si="21">IFERROR(E52-C52,0)</f>
        <v>28.04</v>
      </c>
      <c r="G52" s="45">
        <v>30460.46</v>
      </c>
      <c r="H52" s="67">
        <f t="shared" si="18"/>
        <v>-30432.42</v>
      </c>
      <c r="I52" s="21">
        <f t="shared" si="19"/>
        <v>0</v>
      </c>
      <c r="J52" s="22">
        <f t="shared" si="20"/>
        <v>-0.99907946235874312</v>
      </c>
      <c r="K52" s="52">
        <v>28.04</v>
      </c>
      <c r="L52" s="67">
        <f>IFERROR(E52-K52,0)</f>
        <v>0</v>
      </c>
      <c r="M52" s="73"/>
      <c r="N52" s="74"/>
    </row>
    <row r="53" spans="1:14" s="27" customFormat="1" ht="15" customHeight="1" thickBot="1" x14ac:dyDescent="0.35">
      <c r="A53" s="5"/>
      <c r="B53" s="6" t="s">
        <v>7</v>
      </c>
      <c r="C53" s="45">
        <v>0</v>
      </c>
      <c r="D53" s="45">
        <v>6.65</v>
      </c>
      <c r="E53" s="45">
        <v>6.65</v>
      </c>
      <c r="F53" s="67">
        <f t="shared" si="21"/>
        <v>6.65</v>
      </c>
      <c r="G53" s="45">
        <v>127574.76</v>
      </c>
      <c r="H53" s="67">
        <f t="shared" si="18"/>
        <v>-127568.11</v>
      </c>
      <c r="I53" s="21">
        <f t="shared" si="19"/>
        <v>0</v>
      </c>
      <c r="J53" s="22">
        <f t="shared" si="20"/>
        <v>-0.99994787370166327</v>
      </c>
      <c r="K53" s="52">
        <v>6.65</v>
      </c>
      <c r="L53" s="67">
        <f>IFERROR(E53-K53,0)</f>
        <v>0</v>
      </c>
      <c r="M53" s="73"/>
      <c r="N53" s="74"/>
    </row>
    <row r="54" spans="1:14" s="27" customFormat="1" ht="5.0999999999999996" customHeight="1" thickBot="1" x14ac:dyDescent="0.35">
      <c r="A54" s="5"/>
      <c r="B54" s="6"/>
      <c r="C54" s="7"/>
      <c r="D54" s="7"/>
      <c r="E54" s="8"/>
      <c r="F54" s="67"/>
      <c r="G54" s="7"/>
      <c r="H54" s="67"/>
      <c r="I54" s="21"/>
      <c r="J54" s="21"/>
      <c r="K54" s="53"/>
      <c r="L54" s="67"/>
      <c r="M54" s="73"/>
      <c r="N54" s="74"/>
    </row>
    <row r="55" spans="1:14" s="27" customFormat="1" ht="15" customHeight="1" thickBot="1" x14ac:dyDescent="0.35">
      <c r="A55" s="5"/>
      <c r="B55" s="6" t="s">
        <v>8</v>
      </c>
      <c r="C55" s="45">
        <v>8928</v>
      </c>
      <c r="D55" s="45">
        <v>8928</v>
      </c>
      <c r="E55" s="46">
        <v>8928</v>
      </c>
      <c r="F55" s="67">
        <f>IFERROR(E55-C55,0)</f>
        <v>0</v>
      </c>
      <c r="G55" s="45">
        <v>8928</v>
      </c>
      <c r="H55" s="67">
        <f>IFERROR(E55-G55,0)</f>
        <v>0</v>
      </c>
      <c r="I55" s="23"/>
      <c r="J55" s="24"/>
      <c r="K55" s="52">
        <v>8928</v>
      </c>
      <c r="L55" s="67">
        <f>IFERROR(E55-K55,0)</f>
        <v>0</v>
      </c>
      <c r="M55" s="73"/>
      <c r="N55" s="74"/>
    </row>
    <row r="56" spans="1:14" s="27" customFormat="1" ht="15" customHeight="1" thickBot="1" x14ac:dyDescent="0.35">
      <c r="A56" s="5"/>
      <c r="B56" s="6" t="s">
        <v>9</v>
      </c>
      <c r="C56" s="45">
        <v>0</v>
      </c>
      <c r="D56" s="45">
        <v>0</v>
      </c>
      <c r="E56" s="46">
        <v>0</v>
      </c>
      <c r="F56" s="67">
        <f>IFERROR(E56-C56,0)</f>
        <v>0</v>
      </c>
      <c r="G56" s="45">
        <v>2224</v>
      </c>
      <c r="H56" s="67">
        <f>IFERROR(E56-G56,0)</f>
        <v>-2224</v>
      </c>
      <c r="I56" s="23"/>
      <c r="J56" s="24"/>
      <c r="K56" s="52">
        <v>0</v>
      </c>
      <c r="L56" s="67">
        <f>IFERROR(E56-K56,0)</f>
        <v>0</v>
      </c>
      <c r="M56" s="73"/>
      <c r="N56" s="74"/>
    </row>
    <row r="57" spans="1:14" s="38" customFormat="1" ht="15" customHeight="1" thickBot="1" x14ac:dyDescent="0.35">
      <c r="A57" s="9"/>
      <c r="B57" s="10" t="s">
        <v>10</v>
      </c>
      <c r="C57" s="11">
        <f>IFERROR(C56/C55,0)</f>
        <v>0</v>
      </c>
      <c r="D57" s="11">
        <f>IFERROR(D56/D55,0)</f>
        <v>0</v>
      </c>
      <c r="E57" s="11">
        <f>IFERROR(E56/E55,0)</f>
        <v>0</v>
      </c>
      <c r="F57" s="68">
        <f>IFERROR(E57-C57,0)</f>
        <v>0</v>
      </c>
      <c r="G57" s="11">
        <f>IFERROR(G56/G55,0)</f>
        <v>0.24910394265232974</v>
      </c>
      <c r="H57" s="68">
        <f>IFERROR(E57-G57,0)</f>
        <v>-0.24910394265232974</v>
      </c>
      <c r="I57" s="20">
        <f>IFERROR(E57/C57-1,0)</f>
        <v>0</v>
      </c>
      <c r="J57" s="11">
        <f>IFERROR(E57/G57-1,0)</f>
        <v>-1</v>
      </c>
      <c r="K57" s="12">
        <f>IFERROR(K56/K55,0)</f>
        <v>0</v>
      </c>
      <c r="L57" s="68">
        <f>IFERROR(E57-K57,0)</f>
        <v>0</v>
      </c>
      <c r="M57" s="73"/>
      <c r="N57" s="74"/>
    </row>
    <row r="58" spans="1:14" s="27" customFormat="1" ht="5.0999999999999996" customHeight="1" thickBot="1" x14ac:dyDescent="0.35">
      <c r="A58" s="5"/>
      <c r="B58" s="6"/>
      <c r="C58" s="7"/>
      <c r="D58" s="13"/>
      <c r="E58" s="14"/>
      <c r="F58" s="67"/>
      <c r="G58" s="13"/>
      <c r="H58" s="67"/>
      <c r="I58" s="21"/>
      <c r="J58" s="22"/>
      <c r="K58" s="54"/>
      <c r="L58" s="67"/>
      <c r="M58" s="73"/>
      <c r="N58" s="74"/>
    </row>
    <row r="59" spans="1:14" s="27" customFormat="1" ht="15" customHeight="1" thickBot="1" x14ac:dyDescent="0.35">
      <c r="A59" s="5"/>
      <c r="B59" s="6" t="s">
        <v>11</v>
      </c>
      <c r="C59" s="45">
        <v>0</v>
      </c>
      <c r="D59" s="45">
        <v>0</v>
      </c>
      <c r="E59" s="46">
        <v>0</v>
      </c>
      <c r="F59" s="67">
        <f>IFERROR(E59-C59,0)</f>
        <v>0</v>
      </c>
      <c r="G59" s="45">
        <v>4014</v>
      </c>
      <c r="H59" s="67">
        <f>IFERROR(E59-G59,0)</f>
        <v>-4014</v>
      </c>
      <c r="I59" s="21"/>
      <c r="J59" s="22"/>
      <c r="K59" s="52">
        <v>0</v>
      </c>
      <c r="L59" s="67">
        <f>IFERROR(E59-K59,0)</f>
        <v>0</v>
      </c>
      <c r="M59" s="73"/>
      <c r="N59" s="74"/>
    </row>
    <row r="60" spans="1:14" s="27" customFormat="1" ht="15" customHeight="1" thickBot="1" x14ac:dyDescent="0.35">
      <c r="A60" s="5"/>
      <c r="B60" s="6" t="s">
        <v>12</v>
      </c>
      <c r="C60" s="15">
        <f>IFERROR(C59/C56,0)</f>
        <v>0</v>
      </c>
      <c r="D60" s="15">
        <f>IFERROR(D59/D56,0)</f>
        <v>0</v>
      </c>
      <c r="E60" s="15">
        <f>IFERROR(E59/E56,0)</f>
        <v>0</v>
      </c>
      <c r="F60" s="69">
        <f>IFERROR(E60-C60,0)</f>
        <v>0</v>
      </c>
      <c r="G60" s="15">
        <f>IFERROR(G59/G56,0)</f>
        <v>1.8048561151079137</v>
      </c>
      <c r="H60" s="69">
        <f>IFERROR(E60-G60,0)</f>
        <v>-1.8048561151079137</v>
      </c>
      <c r="I60" s="21"/>
      <c r="J60" s="22"/>
      <c r="K60" s="55">
        <f>IFERROR(K59/K56,0)</f>
        <v>0</v>
      </c>
      <c r="L60" s="69">
        <f>IFERROR(E60-K60,0)</f>
        <v>0</v>
      </c>
      <c r="M60" s="73"/>
      <c r="N60" s="74"/>
    </row>
    <row r="61" spans="1:14" s="27" customFormat="1" ht="5.0999999999999996" customHeight="1" thickBot="1" x14ac:dyDescent="0.35">
      <c r="A61" s="5"/>
      <c r="B61" s="6"/>
      <c r="C61" s="7"/>
      <c r="D61" s="13"/>
      <c r="E61" s="14"/>
      <c r="F61" s="69"/>
      <c r="G61" s="13"/>
      <c r="H61" s="69"/>
      <c r="I61" s="21"/>
      <c r="J61" s="22"/>
      <c r="K61" s="54"/>
      <c r="L61" s="69"/>
      <c r="M61" s="73"/>
      <c r="N61" s="74"/>
    </row>
    <row r="62" spans="1:14" s="27" customFormat="1" ht="15" customHeight="1" thickBot="1" x14ac:dyDescent="0.35">
      <c r="A62" s="5"/>
      <c r="B62" s="6" t="s">
        <v>13</v>
      </c>
      <c r="C62" s="15">
        <f>IFERROR(C51/C56,0)</f>
        <v>0</v>
      </c>
      <c r="D62" s="15">
        <f>IFERROR(D51/D56,0)</f>
        <v>0</v>
      </c>
      <c r="E62" s="15">
        <f>IFERROR(E51/E56,0)</f>
        <v>0</v>
      </c>
      <c r="F62" s="69">
        <f>IFERROR(E62-C62,0)</f>
        <v>0</v>
      </c>
      <c r="G62" s="15">
        <f>IFERROR(G51/G56,0)</f>
        <v>83.43473920863309</v>
      </c>
      <c r="H62" s="69">
        <f>IFERROR(E62-G62,0)</f>
        <v>-83.43473920863309</v>
      </c>
      <c r="I62" s="21">
        <f>IFERROR(E62/C62-1,0)</f>
        <v>0</v>
      </c>
      <c r="J62" s="22">
        <f>IFERROR(E62/G62-1,0)</f>
        <v>-1</v>
      </c>
      <c r="K62" s="55">
        <f>IFERROR(K51/K56,0)</f>
        <v>0</v>
      </c>
      <c r="L62" s="69">
        <f>IFERROR(E62-K62,0)</f>
        <v>0</v>
      </c>
      <c r="M62" s="73"/>
      <c r="N62" s="74"/>
    </row>
    <row r="63" spans="1:14" s="38" customFormat="1" ht="15" customHeight="1" thickBot="1" x14ac:dyDescent="0.35">
      <c r="A63" s="9"/>
      <c r="B63" s="10" t="s">
        <v>14</v>
      </c>
      <c r="C63" s="16">
        <f>IFERROR(C51/C55,0)</f>
        <v>0</v>
      </c>
      <c r="D63" s="16">
        <f>IFERROR(D51/D55,0)</f>
        <v>2.1089829749103943E-2</v>
      </c>
      <c r="E63" s="16">
        <f>IFERROR(E51/E55,0)</f>
        <v>2.1089829749103943E-2</v>
      </c>
      <c r="F63" s="70">
        <f t="shared" ref="F63:F64" si="22">IFERROR(E63-C63,0)</f>
        <v>2.1089829749103943E-2</v>
      </c>
      <c r="G63" s="16">
        <f>IFERROR(G51/G55,0)</f>
        <v>20.783922491039426</v>
      </c>
      <c r="H63" s="70">
        <f t="shared" ref="H63:H64" si="23">IFERROR(E63-G63,0)</f>
        <v>-20.762832661290322</v>
      </c>
      <c r="I63" s="20">
        <f>IFERROR(E63/C63-1,0)</f>
        <v>0</v>
      </c>
      <c r="J63" s="11">
        <f>IFERROR(E63/G63-1,0)</f>
        <v>-0.99898528154354904</v>
      </c>
      <c r="K63" s="56">
        <f>IFERROR(K51/K55,0)</f>
        <v>2.1089829749103943E-2</v>
      </c>
      <c r="L63" s="70">
        <f>IFERROR(E63-K63,0)</f>
        <v>0</v>
      </c>
      <c r="M63" s="73"/>
      <c r="N63" s="74"/>
    </row>
    <row r="64" spans="1:14" ht="15" customHeight="1" thickBot="1" x14ac:dyDescent="0.35">
      <c r="A64" s="17"/>
      <c r="B64" s="18" t="s">
        <v>34</v>
      </c>
      <c r="C64" s="19">
        <f>IFERROR(C50/C56,0)</f>
        <v>0</v>
      </c>
      <c r="D64" s="19">
        <f>IFERROR(D50/D56,0)</f>
        <v>0</v>
      </c>
      <c r="E64" s="19">
        <f>IFERROR(E50/E56,0)</f>
        <v>0</v>
      </c>
      <c r="F64" s="72">
        <f t="shared" si="22"/>
        <v>0</v>
      </c>
      <c r="G64" s="19">
        <f>IFERROR(G50/G56,0)</f>
        <v>154.49374100719422</v>
      </c>
      <c r="H64" s="72">
        <f t="shared" si="23"/>
        <v>-154.49374100719422</v>
      </c>
      <c r="I64" s="25">
        <f>IFERROR(E64/C64-1,0)</f>
        <v>0</v>
      </c>
      <c r="J64" s="26">
        <f>IFERROR(E64/G64-1,0)</f>
        <v>-1</v>
      </c>
      <c r="K64" s="57">
        <f>IFERROR(K50/K56,0)</f>
        <v>0</v>
      </c>
      <c r="L64" s="72">
        <f>IFERROR(E64-K64,0)</f>
        <v>0</v>
      </c>
      <c r="M64" s="73"/>
      <c r="N64" s="74"/>
    </row>
    <row r="65" spans="1:14" s="27" customFormat="1" ht="15" customHeight="1" thickBot="1" x14ac:dyDescent="0.35">
      <c r="A65" s="1"/>
      <c r="B65" s="2" t="s">
        <v>24</v>
      </c>
      <c r="C65" s="3">
        <f>SUM(C66:C68)</f>
        <v>0</v>
      </c>
      <c r="D65" s="3">
        <f>SUM(D66:D68)</f>
        <v>-293.89000000000004</v>
      </c>
      <c r="E65" s="4">
        <f>SUM(E66:E68)</f>
        <v>-293.89000000000004</v>
      </c>
      <c r="F65" s="71">
        <f>IFERROR(SUM(F66:F68),0)</f>
        <v>-293.89000000000004</v>
      </c>
      <c r="G65" s="3">
        <f>SUM(G66:G68)</f>
        <v>-99.02000000000001</v>
      </c>
      <c r="H65" s="71">
        <f>IFERROR(E65-G65,0)</f>
        <v>-194.87000000000003</v>
      </c>
      <c r="I65" s="20">
        <f>IFERROR(E65/C65-1,0)</f>
        <v>0</v>
      </c>
      <c r="J65" s="11">
        <f>IFERROR(E65/G65-1,0)</f>
        <v>1.967986265400929</v>
      </c>
      <c r="K65" s="51">
        <f>SUM(K66:K68)</f>
        <v>-293.89000000000004</v>
      </c>
      <c r="L65" s="71">
        <f>IFERROR(SUM(L66:L68),0)</f>
        <v>0</v>
      </c>
      <c r="M65" s="73"/>
      <c r="N65" s="74"/>
    </row>
    <row r="66" spans="1:14" s="27" customFormat="1" ht="15" customHeight="1" thickBot="1" x14ac:dyDescent="0.35">
      <c r="A66" s="5"/>
      <c r="B66" s="6" t="s">
        <v>5</v>
      </c>
      <c r="C66" s="45">
        <v>0</v>
      </c>
      <c r="D66" s="45">
        <v>-257.66000000000003</v>
      </c>
      <c r="E66" s="45">
        <v>-257.66000000000003</v>
      </c>
      <c r="F66" s="67">
        <f>IFERROR(E66-C66,0)</f>
        <v>-257.66000000000003</v>
      </c>
      <c r="G66" s="45">
        <v>-85.440000000000012</v>
      </c>
      <c r="H66" s="67">
        <f t="shared" ref="H66:H68" si="24">IFERROR(E66-G66,0)</f>
        <v>-172.22000000000003</v>
      </c>
      <c r="I66" s="21">
        <f t="shared" ref="I66:I68" si="25">IFERROR(E66/C66-1,0)</f>
        <v>0</v>
      </c>
      <c r="J66" s="22">
        <f t="shared" ref="J66:J68" si="26">IFERROR(E66/G66-1,0)</f>
        <v>2.0156835205992509</v>
      </c>
      <c r="K66" s="52">
        <v>-257.66000000000003</v>
      </c>
      <c r="L66" s="67">
        <f>IFERROR(E66-K66,0)</f>
        <v>0</v>
      </c>
      <c r="M66" s="73"/>
      <c r="N66" s="74"/>
    </row>
    <row r="67" spans="1:14" s="27" customFormat="1" ht="15" customHeight="1" thickBot="1" x14ac:dyDescent="0.35">
      <c r="A67" s="5"/>
      <c r="B67" s="6" t="s">
        <v>6</v>
      </c>
      <c r="C67" s="45">
        <v>0</v>
      </c>
      <c r="D67" s="45">
        <v>-22.43</v>
      </c>
      <c r="E67" s="45">
        <v>-22.43</v>
      </c>
      <c r="F67" s="67">
        <f t="shared" ref="F67:F68" si="27">IFERROR(E67-C67,0)</f>
        <v>-22.43</v>
      </c>
      <c r="G67" s="45">
        <v>-10.08</v>
      </c>
      <c r="H67" s="67">
        <f t="shared" si="24"/>
        <v>-12.35</v>
      </c>
      <c r="I67" s="21">
        <f t="shared" si="25"/>
        <v>0</v>
      </c>
      <c r="J67" s="22">
        <f t="shared" si="26"/>
        <v>1.2251984126984126</v>
      </c>
      <c r="K67" s="52">
        <v>-22.43</v>
      </c>
      <c r="L67" s="67">
        <f>IFERROR(E67-K67,0)</f>
        <v>0</v>
      </c>
      <c r="M67" s="73"/>
      <c r="N67" s="74"/>
    </row>
    <row r="68" spans="1:14" s="27" customFormat="1" ht="15" customHeight="1" thickBot="1" x14ac:dyDescent="0.35">
      <c r="A68" s="5"/>
      <c r="B68" s="6" t="s">
        <v>7</v>
      </c>
      <c r="C68" s="45">
        <v>0</v>
      </c>
      <c r="D68" s="45">
        <v>-13.8</v>
      </c>
      <c r="E68" s="45">
        <v>-13.8</v>
      </c>
      <c r="F68" s="67">
        <f t="shared" si="27"/>
        <v>-13.8</v>
      </c>
      <c r="G68" s="45">
        <v>-3.5</v>
      </c>
      <c r="H68" s="67">
        <f t="shared" si="24"/>
        <v>-10.3</v>
      </c>
      <c r="I68" s="21">
        <f t="shared" si="25"/>
        <v>0</v>
      </c>
      <c r="J68" s="22">
        <f t="shared" si="26"/>
        <v>2.9428571428571431</v>
      </c>
      <c r="K68" s="52">
        <v>-13.8</v>
      </c>
      <c r="L68" s="67">
        <f>IFERROR(E68-K68,0)</f>
        <v>0</v>
      </c>
      <c r="M68" s="73"/>
      <c r="N68" s="74"/>
    </row>
    <row r="69" spans="1:14" s="27" customFormat="1" ht="5.0999999999999996" customHeight="1" thickBot="1" x14ac:dyDescent="0.35">
      <c r="A69" s="5"/>
      <c r="B69" s="6"/>
      <c r="C69" s="7"/>
      <c r="D69" s="7"/>
      <c r="E69" s="8"/>
      <c r="F69" s="67"/>
      <c r="G69" s="7"/>
      <c r="H69" s="67"/>
      <c r="I69" s="21"/>
      <c r="J69" s="21"/>
      <c r="K69" s="53"/>
      <c r="L69" s="67"/>
      <c r="M69" s="73"/>
      <c r="N69" s="74"/>
    </row>
    <row r="70" spans="1:14" s="27" customFormat="1" ht="15" customHeight="1" thickBot="1" x14ac:dyDescent="0.35">
      <c r="A70" s="5"/>
      <c r="B70" s="6" t="s">
        <v>8</v>
      </c>
      <c r="C70" s="45">
        <v>8640</v>
      </c>
      <c r="D70" s="45">
        <v>8640</v>
      </c>
      <c r="E70" s="46">
        <v>8640</v>
      </c>
      <c r="F70" s="67">
        <f>IFERROR(E70-C70,0)</f>
        <v>0</v>
      </c>
      <c r="G70" s="45">
        <v>8640</v>
      </c>
      <c r="H70" s="67">
        <f>IFERROR(E70-G70,0)</f>
        <v>0</v>
      </c>
      <c r="I70" s="23"/>
      <c r="J70" s="24"/>
      <c r="K70" s="52">
        <v>8640</v>
      </c>
      <c r="L70" s="67">
        <f>IFERROR(E70-K70,0)</f>
        <v>0</v>
      </c>
      <c r="M70" s="73"/>
      <c r="N70" s="74"/>
    </row>
    <row r="71" spans="1:14" s="27" customFormat="1" ht="15" customHeight="1" thickBot="1" x14ac:dyDescent="0.35">
      <c r="A71" s="5"/>
      <c r="B71" s="6" t="s">
        <v>9</v>
      </c>
      <c r="C71" s="45">
        <v>0</v>
      </c>
      <c r="D71" s="45">
        <v>0</v>
      </c>
      <c r="E71" s="46">
        <v>0</v>
      </c>
      <c r="F71" s="67">
        <f>IFERROR(E71-C71,0)</f>
        <v>0</v>
      </c>
      <c r="G71" s="45">
        <v>0</v>
      </c>
      <c r="H71" s="67">
        <f>IFERROR(E71-G71,0)</f>
        <v>0</v>
      </c>
      <c r="I71" s="23"/>
      <c r="J71" s="24"/>
      <c r="K71" s="52">
        <v>0</v>
      </c>
      <c r="L71" s="67">
        <f>IFERROR(E71-K71,0)</f>
        <v>0</v>
      </c>
      <c r="M71" s="73"/>
      <c r="N71" s="74"/>
    </row>
    <row r="72" spans="1:14" s="38" customFormat="1" ht="15" customHeight="1" thickBot="1" x14ac:dyDescent="0.35">
      <c r="A72" s="9"/>
      <c r="B72" s="10" t="s">
        <v>10</v>
      </c>
      <c r="C72" s="11">
        <f>IFERROR(C71/C70,0)</f>
        <v>0</v>
      </c>
      <c r="D72" s="11">
        <f>IFERROR(D71/D70,0)</f>
        <v>0</v>
      </c>
      <c r="E72" s="11">
        <f>IFERROR(E71/E70,0)</f>
        <v>0</v>
      </c>
      <c r="F72" s="68">
        <f>IFERROR(E72-C72,0)</f>
        <v>0</v>
      </c>
      <c r="G72" s="11">
        <f>IFERROR(G71/G70,0)</f>
        <v>0</v>
      </c>
      <c r="H72" s="68">
        <f>IFERROR(E72-G72,0)</f>
        <v>0</v>
      </c>
      <c r="I72" s="20">
        <f>IFERROR(E72/C72-1,0)</f>
        <v>0</v>
      </c>
      <c r="J72" s="11">
        <f>IFERROR(E72/G72-1,0)</f>
        <v>0</v>
      </c>
      <c r="K72" s="12">
        <f>IFERROR(K71/K70,0)</f>
        <v>0</v>
      </c>
      <c r="L72" s="68">
        <f>IFERROR(E72-K72,0)</f>
        <v>0</v>
      </c>
      <c r="M72" s="73"/>
      <c r="N72" s="74"/>
    </row>
    <row r="73" spans="1:14" s="27" customFormat="1" ht="5.0999999999999996" customHeight="1" thickBot="1" x14ac:dyDescent="0.35">
      <c r="A73" s="5"/>
      <c r="B73" s="6"/>
      <c r="C73" s="7"/>
      <c r="D73" s="13"/>
      <c r="E73" s="14"/>
      <c r="F73" s="67"/>
      <c r="G73" s="13"/>
      <c r="H73" s="67"/>
      <c r="I73" s="21"/>
      <c r="J73" s="22"/>
      <c r="K73" s="54"/>
      <c r="L73" s="67"/>
      <c r="M73" s="73"/>
      <c r="N73" s="74"/>
    </row>
    <row r="74" spans="1:14" s="27" customFormat="1" ht="15" customHeight="1" thickBot="1" x14ac:dyDescent="0.35">
      <c r="A74" s="5"/>
      <c r="B74" s="6" t="s">
        <v>11</v>
      </c>
      <c r="C74" s="45">
        <v>0</v>
      </c>
      <c r="D74" s="45">
        <v>0</v>
      </c>
      <c r="E74" s="46">
        <v>0</v>
      </c>
      <c r="F74" s="67">
        <f>IFERROR(E74-C74,0)</f>
        <v>0</v>
      </c>
      <c r="G74" s="45">
        <v>0</v>
      </c>
      <c r="H74" s="67">
        <f>IFERROR(E74-G74,0)</f>
        <v>0</v>
      </c>
      <c r="I74" s="21"/>
      <c r="J74" s="22"/>
      <c r="K74" s="52">
        <v>0</v>
      </c>
      <c r="L74" s="67">
        <f>IFERROR(E74-K74,0)</f>
        <v>0</v>
      </c>
      <c r="M74" s="73"/>
      <c r="N74" s="74"/>
    </row>
    <row r="75" spans="1:14" s="27" customFormat="1" ht="15" customHeight="1" thickBot="1" x14ac:dyDescent="0.35">
      <c r="A75" s="5"/>
      <c r="B75" s="6" t="s">
        <v>12</v>
      </c>
      <c r="C75" s="15">
        <f>IFERROR(C74/C71,0)</f>
        <v>0</v>
      </c>
      <c r="D75" s="15">
        <f>IFERROR(D74/D71,0)</f>
        <v>0</v>
      </c>
      <c r="E75" s="15">
        <f>IFERROR(E74/E71,0)</f>
        <v>0</v>
      </c>
      <c r="F75" s="69">
        <f>IFERROR(E75-C75,0)</f>
        <v>0</v>
      </c>
      <c r="G75" s="15">
        <f>IFERROR(G74/G71,0)</f>
        <v>0</v>
      </c>
      <c r="H75" s="69">
        <f>IFERROR(E75-G75,0)</f>
        <v>0</v>
      </c>
      <c r="I75" s="21"/>
      <c r="J75" s="22"/>
      <c r="K75" s="55">
        <f>IFERROR(K74/K71,0)</f>
        <v>0</v>
      </c>
      <c r="L75" s="69">
        <f>IFERROR(E75-K75,0)</f>
        <v>0</v>
      </c>
      <c r="M75" s="73"/>
      <c r="N75" s="74"/>
    </row>
    <row r="76" spans="1:14" s="27" customFormat="1" ht="5.0999999999999996" customHeight="1" thickBot="1" x14ac:dyDescent="0.35">
      <c r="A76" s="5"/>
      <c r="B76" s="6"/>
      <c r="C76" s="7"/>
      <c r="D76" s="13"/>
      <c r="E76" s="14"/>
      <c r="F76" s="69"/>
      <c r="G76" s="13"/>
      <c r="H76" s="69"/>
      <c r="I76" s="21"/>
      <c r="J76" s="22"/>
      <c r="K76" s="54"/>
      <c r="L76" s="69"/>
      <c r="M76" s="73"/>
      <c r="N76" s="74"/>
    </row>
    <row r="77" spans="1:14" s="27" customFormat="1" ht="15" customHeight="1" thickBot="1" x14ac:dyDescent="0.35">
      <c r="A77" s="5"/>
      <c r="B77" s="6" t="s">
        <v>13</v>
      </c>
      <c r="C77" s="15">
        <f>IFERROR(C66/C71,0)</f>
        <v>0</v>
      </c>
      <c r="D77" s="15">
        <f>IFERROR(D66/D71,0)</f>
        <v>0</v>
      </c>
      <c r="E77" s="15">
        <f>IFERROR(E66/E71,0)</f>
        <v>0</v>
      </c>
      <c r="F77" s="69">
        <f>IFERROR(E77-C77,0)</f>
        <v>0</v>
      </c>
      <c r="G77" s="15">
        <f>IFERROR(G66/G71,0)</f>
        <v>0</v>
      </c>
      <c r="H77" s="69">
        <f>IFERROR(E77-G77,0)</f>
        <v>0</v>
      </c>
      <c r="I77" s="21">
        <f>IFERROR(E77/C77-1,0)</f>
        <v>0</v>
      </c>
      <c r="J77" s="22">
        <f>IFERROR(E77/G77-1,0)</f>
        <v>0</v>
      </c>
      <c r="K77" s="55">
        <f>IFERROR(K66/K71,0)</f>
        <v>0</v>
      </c>
      <c r="L77" s="69">
        <f>IFERROR(E77-K77,0)</f>
        <v>0</v>
      </c>
      <c r="M77" s="73"/>
      <c r="N77" s="74"/>
    </row>
    <row r="78" spans="1:14" s="38" customFormat="1" ht="15" customHeight="1" thickBot="1" x14ac:dyDescent="0.35">
      <c r="A78" s="9"/>
      <c r="B78" s="10" t="s">
        <v>14</v>
      </c>
      <c r="C78" s="16">
        <f>IFERROR(C66/C70,0)</f>
        <v>0</v>
      </c>
      <c r="D78" s="16">
        <f>IFERROR(D66/D70,0)</f>
        <v>-2.9821759259259263E-2</v>
      </c>
      <c r="E78" s="16">
        <f>IFERROR(E66/E70,0)</f>
        <v>-2.9821759259259263E-2</v>
      </c>
      <c r="F78" s="70">
        <f t="shared" ref="F78:F79" si="28">IFERROR(E78-C78,0)</f>
        <v>-2.9821759259259263E-2</v>
      </c>
      <c r="G78" s="16">
        <f>IFERROR(G66/G70,0)</f>
        <v>-9.8888888888888898E-3</v>
      </c>
      <c r="H78" s="70">
        <f t="shared" ref="H78:H79" si="29">IFERROR(E78-G78,0)</f>
        <v>-1.9932870370370372E-2</v>
      </c>
      <c r="I78" s="20">
        <f>IFERROR(E78/C78-1,0)</f>
        <v>0</v>
      </c>
      <c r="J78" s="11">
        <f>IFERROR(E78/G78-1,0)</f>
        <v>2.0156835205992509</v>
      </c>
      <c r="K78" s="56">
        <f>IFERROR(K66/K70,0)</f>
        <v>-2.9821759259259263E-2</v>
      </c>
      <c r="L78" s="70">
        <f>IFERROR(E78-K78,0)</f>
        <v>0</v>
      </c>
      <c r="M78" s="73"/>
      <c r="N78" s="74"/>
    </row>
    <row r="79" spans="1:14" ht="15" customHeight="1" thickBot="1" x14ac:dyDescent="0.35">
      <c r="A79" s="17"/>
      <c r="B79" s="18" t="s">
        <v>34</v>
      </c>
      <c r="C79" s="19">
        <f>IFERROR(C65/C71,0)</f>
        <v>0</v>
      </c>
      <c r="D79" s="19">
        <f>IFERROR(D65/D71,0)</f>
        <v>0</v>
      </c>
      <c r="E79" s="19">
        <f>IFERROR(E65/E71,0)</f>
        <v>0</v>
      </c>
      <c r="F79" s="72">
        <f t="shared" si="28"/>
        <v>0</v>
      </c>
      <c r="G79" s="19">
        <f>IFERROR(G65/G71,0)</f>
        <v>0</v>
      </c>
      <c r="H79" s="72">
        <f t="shared" si="29"/>
        <v>0</v>
      </c>
      <c r="I79" s="25">
        <f>IFERROR(E79/C79-1,0)</f>
        <v>0</v>
      </c>
      <c r="J79" s="26">
        <f>IFERROR(E79/G79-1,0)</f>
        <v>0</v>
      </c>
      <c r="K79" s="57">
        <f>IFERROR(K65/K71,0)</f>
        <v>0</v>
      </c>
      <c r="L79" s="72">
        <f>IFERROR(E79-K79,0)</f>
        <v>0</v>
      </c>
      <c r="M79" s="73"/>
      <c r="N79" s="74"/>
    </row>
    <row r="80" spans="1:14" s="27" customFormat="1" ht="15" customHeight="1" thickBot="1" x14ac:dyDescent="0.35">
      <c r="A80" s="1"/>
      <c r="B80" s="2" t="s">
        <v>25</v>
      </c>
      <c r="C80" s="3">
        <f>SUM(C81:C83)</f>
        <v>0</v>
      </c>
      <c r="D80" s="3">
        <f>SUM(D81:D83)</f>
        <v>-203.12</v>
      </c>
      <c r="E80" s="4">
        <f>SUM(E81:E83)</f>
        <v>-203.12</v>
      </c>
      <c r="F80" s="71">
        <f>IFERROR(SUM(F81:F83),0)</f>
        <v>-203.12</v>
      </c>
      <c r="G80" s="3">
        <f>SUM(G81:G83)</f>
        <v>36142.800000000003</v>
      </c>
      <c r="H80" s="71">
        <f>IFERROR(E80-G80,0)</f>
        <v>-36345.920000000006</v>
      </c>
      <c r="I80" s="20">
        <f>IFERROR(E80/C80-1,0)</f>
        <v>0</v>
      </c>
      <c r="J80" s="11">
        <f>IFERROR(E80/G80-1,0)</f>
        <v>-1.0056199298338813</v>
      </c>
      <c r="K80" s="51">
        <f>SUM(K81:K83)</f>
        <v>-203.12</v>
      </c>
      <c r="L80" s="71">
        <f>IFERROR(SUM(L81:L83),0)</f>
        <v>0</v>
      </c>
      <c r="M80" s="73"/>
      <c r="N80" s="74"/>
    </row>
    <row r="81" spans="1:14" s="27" customFormat="1" ht="15" customHeight="1" thickBot="1" x14ac:dyDescent="0.35">
      <c r="A81" s="5"/>
      <c r="B81" s="6" t="s">
        <v>5</v>
      </c>
      <c r="C81" s="45">
        <v>0</v>
      </c>
      <c r="D81" s="45">
        <v>-246.34</v>
      </c>
      <c r="E81" s="45">
        <v>-246.34</v>
      </c>
      <c r="F81" s="67">
        <f>IFERROR(E81-C81,0)</f>
        <v>-246.34</v>
      </c>
      <c r="G81" s="45">
        <v>5567.24</v>
      </c>
      <c r="H81" s="67">
        <f t="shared" ref="H81:H83" si="30">IFERROR(E81-G81,0)</f>
        <v>-5813.58</v>
      </c>
      <c r="I81" s="21">
        <f t="shared" ref="I81:I83" si="31">IFERROR(E81/C81-1,0)</f>
        <v>0</v>
      </c>
      <c r="J81" s="22">
        <f t="shared" ref="J81:J83" si="32">IFERROR(E81/G81-1,0)</f>
        <v>-1.0442481373175936</v>
      </c>
      <c r="K81" s="52">
        <v>-246.34</v>
      </c>
      <c r="L81" s="67">
        <f>IFERROR(E81-K81,0)</f>
        <v>0</v>
      </c>
      <c r="M81" s="73"/>
      <c r="N81" s="74"/>
    </row>
    <row r="82" spans="1:14" s="27" customFormat="1" ht="15" customHeight="1" thickBot="1" x14ac:dyDescent="0.35">
      <c r="A82" s="5"/>
      <c r="B82" s="6" t="s">
        <v>6</v>
      </c>
      <c r="C82" s="45">
        <v>0</v>
      </c>
      <c r="D82" s="45">
        <v>44.85</v>
      </c>
      <c r="E82" s="45">
        <v>44.85</v>
      </c>
      <c r="F82" s="67">
        <f t="shared" ref="F82:F83" si="33">IFERROR(E82-C82,0)</f>
        <v>44.85</v>
      </c>
      <c r="G82" s="45">
        <v>616.16999999999996</v>
      </c>
      <c r="H82" s="67">
        <f t="shared" si="30"/>
        <v>-571.31999999999994</v>
      </c>
      <c r="I82" s="21">
        <f t="shared" si="31"/>
        <v>0</v>
      </c>
      <c r="J82" s="22">
        <f t="shared" si="32"/>
        <v>-0.92721164613661811</v>
      </c>
      <c r="K82" s="52">
        <v>44.85</v>
      </c>
      <c r="L82" s="67">
        <f>IFERROR(E82-K82,0)</f>
        <v>0</v>
      </c>
      <c r="M82" s="73"/>
      <c r="N82" s="74"/>
    </row>
    <row r="83" spans="1:14" s="27" customFormat="1" ht="15" customHeight="1" thickBot="1" x14ac:dyDescent="0.35">
      <c r="A83" s="5"/>
      <c r="B83" s="6" t="s">
        <v>7</v>
      </c>
      <c r="C83" s="45">
        <v>0</v>
      </c>
      <c r="D83" s="45">
        <v>-1.63</v>
      </c>
      <c r="E83" s="45">
        <v>-1.63</v>
      </c>
      <c r="F83" s="67">
        <f t="shared" si="33"/>
        <v>-1.63</v>
      </c>
      <c r="G83" s="45">
        <v>29959.39</v>
      </c>
      <c r="H83" s="67">
        <f t="shared" si="30"/>
        <v>-29961.02</v>
      </c>
      <c r="I83" s="21">
        <f t="shared" si="31"/>
        <v>0</v>
      </c>
      <c r="J83" s="22">
        <f t="shared" si="32"/>
        <v>-1.0000544069822517</v>
      </c>
      <c r="K83" s="52">
        <v>-1.63</v>
      </c>
      <c r="L83" s="67">
        <f>IFERROR(E83-K83,0)</f>
        <v>0</v>
      </c>
      <c r="M83" s="73"/>
      <c r="N83" s="74"/>
    </row>
    <row r="84" spans="1:14" s="27" customFormat="1" ht="5.0999999999999996" customHeight="1" thickBot="1" x14ac:dyDescent="0.35">
      <c r="A84" s="5"/>
      <c r="B84" s="6"/>
      <c r="C84" s="7"/>
      <c r="D84" s="7"/>
      <c r="E84" s="8"/>
      <c r="F84" s="67"/>
      <c r="G84" s="7"/>
      <c r="H84" s="67"/>
      <c r="I84" s="21"/>
      <c r="J84" s="21"/>
      <c r="K84" s="53"/>
      <c r="L84" s="67"/>
      <c r="M84" s="73"/>
      <c r="N84" s="74"/>
    </row>
    <row r="85" spans="1:14" s="27" customFormat="1" ht="15" customHeight="1" thickBot="1" x14ac:dyDescent="0.35">
      <c r="A85" s="5"/>
      <c r="B85" s="6" t="s">
        <v>8</v>
      </c>
      <c r="C85" s="45">
        <v>8928</v>
      </c>
      <c r="D85" s="45">
        <v>8928</v>
      </c>
      <c r="E85" s="46">
        <v>8928</v>
      </c>
      <c r="F85" s="67">
        <f>IFERROR(E85-C85,0)</f>
        <v>0</v>
      </c>
      <c r="G85" s="45">
        <v>8928</v>
      </c>
      <c r="H85" s="67">
        <f>IFERROR(E85-G85,0)</f>
        <v>0</v>
      </c>
      <c r="I85" s="23"/>
      <c r="J85" s="24"/>
      <c r="K85" s="52">
        <v>8928</v>
      </c>
      <c r="L85" s="67">
        <f>IFERROR(E85-K85,0)</f>
        <v>0</v>
      </c>
      <c r="M85" s="73"/>
      <c r="N85" s="74"/>
    </row>
    <row r="86" spans="1:14" s="27" customFormat="1" ht="15" customHeight="1" thickBot="1" x14ac:dyDescent="0.35">
      <c r="A86" s="5"/>
      <c r="B86" s="6" t="s">
        <v>9</v>
      </c>
      <c r="C86" s="45">
        <v>0</v>
      </c>
      <c r="D86" s="45">
        <v>0</v>
      </c>
      <c r="E86" s="46">
        <v>0</v>
      </c>
      <c r="F86" s="67">
        <f>IFERROR(E86-C86,0)</f>
        <v>0</v>
      </c>
      <c r="G86" s="45">
        <v>0</v>
      </c>
      <c r="H86" s="67">
        <f>IFERROR(E86-G86,0)</f>
        <v>0</v>
      </c>
      <c r="I86" s="23"/>
      <c r="J86" s="24"/>
      <c r="K86" s="52">
        <v>0</v>
      </c>
      <c r="L86" s="67">
        <f>IFERROR(E86-K86,0)</f>
        <v>0</v>
      </c>
      <c r="M86" s="73"/>
      <c r="N86" s="74"/>
    </row>
    <row r="87" spans="1:14" s="38" customFormat="1" ht="15" customHeight="1" thickBot="1" x14ac:dyDescent="0.35">
      <c r="A87" s="9"/>
      <c r="B87" s="10" t="s">
        <v>10</v>
      </c>
      <c r="C87" s="11">
        <f>IFERROR(C86/C85,0)</f>
        <v>0</v>
      </c>
      <c r="D87" s="11">
        <f>IFERROR(D86/D85,0)</f>
        <v>0</v>
      </c>
      <c r="E87" s="11">
        <f>IFERROR(E86/E85,0)</f>
        <v>0</v>
      </c>
      <c r="F87" s="68">
        <f>IFERROR(E87-C87,0)</f>
        <v>0</v>
      </c>
      <c r="G87" s="11">
        <f>IFERROR(G86/G85,0)</f>
        <v>0</v>
      </c>
      <c r="H87" s="68">
        <f>IFERROR(E87-G87,0)</f>
        <v>0</v>
      </c>
      <c r="I87" s="20">
        <f>IFERROR(E87/C87-1,0)</f>
        <v>0</v>
      </c>
      <c r="J87" s="11">
        <f>IFERROR(E87/G87-1,0)</f>
        <v>0</v>
      </c>
      <c r="K87" s="12">
        <f>IFERROR(K86/K85,0)</f>
        <v>0</v>
      </c>
      <c r="L87" s="68">
        <f>IFERROR(E87-K87,0)</f>
        <v>0</v>
      </c>
      <c r="M87" s="73"/>
      <c r="N87" s="74"/>
    </row>
    <row r="88" spans="1:14" s="27" customFormat="1" ht="5.0999999999999996" customHeight="1" thickBot="1" x14ac:dyDescent="0.35">
      <c r="A88" s="5"/>
      <c r="B88" s="6"/>
      <c r="C88" s="7"/>
      <c r="D88" s="13"/>
      <c r="E88" s="14"/>
      <c r="F88" s="67"/>
      <c r="G88" s="13"/>
      <c r="H88" s="67"/>
      <c r="I88" s="21"/>
      <c r="J88" s="22"/>
      <c r="K88" s="54"/>
      <c r="L88" s="67"/>
      <c r="M88" s="73"/>
      <c r="N88" s="74"/>
    </row>
    <row r="89" spans="1:14" s="27" customFormat="1" ht="15" customHeight="1" thickBot="1" x14ac:dyDescent="0.35">
      <c r="A89" s="5"/>
      <c r="B89" s="6" t="s">
        <v>11</v>
      </c>
      <c r="C89" s="45">
        <v>0</v>
      </c>
      <c r="D89" s="45">
        <v>0</v>
      </c>
      <c r="E89" s="46">
        <v>0</v>
      </c>
      <c r="F89" s="67">
        <f>IFERROR(E89-C89,0)</f>
        <v>0</v>
      </c>
      <c r="G89" s="45">
        <v>0</v>
      </c>
      <c r="H89" s="67">
        <f>IFERROR(E89-G89,0)</f>
        <v>0</v>
      </c>
      <c r="I89" s="21"/>
      <c r="J89" s="22"/>
      <c r="K89" s="52">
        <v>0</v>
      </c>
      <c r="L89" s="67">
        <f>IFERROR(E89-K89,0)</f>
        <v>0</v>
      </c>
      <c r="M89" s="73"/>
      <c r="N89" s="74"/>
    </row>
    <row r="90" spans="1:14" s="27" customFormat="1" ht="15" customHeight="1" thickBot="1" x14ac:dyDescent="0.35">
      <c r="A90" s="5"/>
      <c r="B90" s="6" t="s">
        <v>12</v>
      </c>
      <c r="C90" s="15">
        <f>IFERROR(C89/C86,0)</f>
        <v>0</v>
      </c>
      <c r="D90" s="15">
        <f>IFERROR(D89/D86,0)</f>
        <v>0</v>
      </c>
      <c r="E90" s="15">
        <f>IFERROR(E89/E86,0)</f>
        <v>0</v>
      </c>
      <c r="F90" s="69">
        <f>IFERROR(E90-C90,0)</f>
        <v>0</v>
      </c>
      <c r="G90" s="15">
        <f>IFERROR(G89/G86,0)</f>
        <v>0</v>
      </c>
      <c r="H90" s="69">
        <f>IFERROR(E90-G90,0)</f>
        <v>0</v>
      </c>
      <c r="I90" s="21"/>
      <c r="J90" s="22"/>
      <c r="K90" s="55">
        <f>IFERROR(K89/K86,0)</f>
        <v>0</v>
      </c>
      <c r="L90" s="69">
        <f>IFERROR(E90-K90,0)</f>
        <v>0</v>
      </c>
      <c r="M90" s="73"/>
      <c r="N90" s="74"/>
    </row>
    <row r="91" spans="1:14" s="27" customFormat="1" ht="5.0999999999999996" customHeight="1" thickBot="1" x14ac:dyDescent="0.35">
      <c r="A91" s="5"/>
      <c r="B91" s="6"/>
      <c r="C91" s="7"/>
      <c r="D91" s="13"/>
      <c r="E91" s="14"/>
      <c r="F91" s="69"/>
      <c r="G91" s="13"/>
      <c r="H91" s="69"/>
      <c r="I91" s="21"/>
      <c r="J91" s="22"/>
      <c r="K91" s="54"/>
      <c r="L91" s="69"/>
      <c r="M91" s="73"/>
      <c r="N91" s="74"/>
    </row>
    <row r="92" spans="1:14" s="27" customFormat="1" ht="15" customHeight="1" thickBot="1" x14ac:dyDescent="0.35">
      <c r="A92" s="5"/>
      <c r="B92" s="6" t="s">
        <v>13</v>
      </c>
      <c r="C92" s="15">
        <f>IFERROR(C81/C86,0)</f>
        <v>0</v>
      </c>
      <c r="D92" s="15">
        <f>IFERROR(D81/D86,0)</f>
        <v>0</v>
      </c>
      <c r="E92" s="15">
        <f>IFERROR(E81/E86,0)</f>
        <v>0</v>
      </c>
      <c r="F92" s="69">
        <f>IFERROR(E92-C92,0)</f>
        <v>0</v>
      </c>
      <c r="G92" s="15">
        <f>IFERROR(G81/G86,0)</f>
        <v>0</v>
      </c>
      <c r="H92" s="69">
        <f>IFERROR(E92-G92,0)</f>
        <v>0</v>
      </c>
      <c r="I92" s="21">
        <f>IFERROR(E92/C92-1,0)</f>
        <v>0</v>
      </c>
      <c r="J92" s="22">
        <f>IFERROR(E92/G92-1,0)</f>
        <v>0</v>
      </c>
      <c r="K92" s="55">
        <f>IFERROR(K81/K86,0)</f>
        <v>0</v>
      </c>
      <c r="L92" s="69">
        <f>IFERROR(E92-K92,0)</f>
        <v>0</v>
      </c>
      <c r="M92" s="73"/>
      <c r="N92" s="74"/>
    </row>
    <row r="93" spans="1:14" s="38" customFormat="1" ht="15" customHeight="1" thickBot="1" x14ac:dyDescent="0.35">
      <c r="A93" s="9"/>
      <c r="B93" s="10" t="s">
        <v>14</v>
      </c>
      <c r="C93" s="16">
        <f>IFERROR(C81/C85,0)</f>
        <v>0</v>
      </c>
      <c r="D93" s="16">
        <f>IFERROR(D81/D85,0)</f>
        <v>-2.7591845878136199E-2</v>
      </c>
      <c r="E93" s="16">
        <f>IFERROR(E81/E85,0)</f>
        <v>-2.7591845878136199E-2</v>
      </c>
      <c r="F93" s="70">
        <f t="shared" ref="F93:F94" si="34">IFERROR(E93-C93,0)</f>
        <v>-2.7591845878136199E-2</v>
      </c>
      <c r="G93" s="16">
        <f>IFERROR(G81/G85,0)</f>
        <v>0.62357078853046588</v>
      </c>
      <c r="H93" s="70">
        <f t="shared" ref="H93:H94" si="35">IFERROR(E93-G93,0)</f>
        <v>-0.65116263440860211</v>
      </c>
      <c r="I93" s="20">
        <f>IFERROR(E93/C93-1,0)</f>
        <v>0</v>
      </c>
      <c r="J93" s="11">
        <f>IFERROR(E93/G93-1,0)</f>
        <v>-1.0442481373175936</v>
      </c>
      <c r="K93" s="56">
        <f>IFERROR(K81/K85,0)</f>
        <v>-2.7591845878136199E-2</v>
      </c>
      <c r="L93" s="70">
        <f>IFERROR(E93-K93,0)</f>
        <v>0</v>
      </c>
      <c r="M93" s="73"/>
      <c r="N93" s="74"/>
    </row>
    <row r="94" spans="1:14" ht="15" customHeight="1" thickBot="1" x14ac:dyDescent="0.35">
      <c r="A94" s="17"/>
      <c r="B94" s="18" t="s">
        <v>34</v>
      </c>
      <c r="C94" s="19">
        <f>IFERROR(C80/C86,0)</f>
        <v>0</v>
      </c>
      <c r="D94" s="19">
        <f>IFERROR(D80/D86,0)</f>
        <v>0</v>
      </c>
      <c r="E94" s="19">
        <f>IFERROR(E80/E86,0)</f>
        <v>0</v>
      </c>
      <c r="F94" s="72">
        <f t="shared" si="34"/>
        <v>0</v>
      </c>
      <c r="G94" s="19">
        <f>IFERROR(G80/G86,0)</f>
        <v>0</v>
      </c>
      <c r="H94" s="72">
        <f t="shared" si="35"/>
        <v>0</v>
      </c>
      <c r="I94" s="25">
        <f>IFERROR(E94/C94-1,0)</f>
        <v>0</v>
      </c>
      <c r="J94" s="26">
        <f>IFERROR(E94/G94-1,0)</f>
        <v>0</v>
      </c>
      <c r="K94" s="57">
        <f>IFERROR(K80/K86,0)</f>
        <v>0</v>
      </c>
      <c r="L94" s="72">
        <f>IFERROR(E94-K94,0)</f>
        <v>0</v>
      </c>
      <c r="M94" s="73"/>
      <c r="N94" s="74"/>
    </row>
    <row r="95" spans="1:14" s="27" customFormat="1" ht="15" customHeight="1" thickBot="1" x14ac:dyDescent="0.35">
      <c r="A95" s="1"/>
      <c r="B95" s="2" t="s">
        <v>26</v>
      </c>
      <c r="C95" s="3">
        <f>SUM(C96:C98)</f>
        <v>0</v>
      </c>
      <c r="D95" s="3">
        <f>SUM(D96:D98)</f>
        <v>120121.39</v>
      </c>
      <c r="E95" s="4">
        <f>SUM(E96:E98)</f>
        <v>120121.39</v>
      </c>
      <c r="F95" s="71">
        <f>IFERROR(SUM(F96:F98),0)</f>
        <v>120121.39</v>
      </c>
      <c r="G95" s="3">
        <f>SUM(G96:G98)</f>
        <v>16085.130000000001</v>
      </c>
      <c r="H95" s="71">
        <f>IFERROR(E95-G95,0)</f>
        <v>104036.26</v>
      </c>
      <c r="I95" s="20">
        <f>IFERROR(E95/C95-1,0)</f>
        <v>0</v>
      </c>
      <c r="J95" s="11">
        <f>IFERROR(E95/G95-1,0)</f>
        <v>6.4678532284165557</v>
      </c>
      <c r="K95" s="51">
        <f>SUM(K96:K98)</f>
        <v>120121.38999999998</v>
      </c>
      <c r="L95" s="71">
        <f>IFERROR(SUM(L96:L98),0)</f>
        <v>2.0008883439004421E-11</v>
      </c>
      <c r="M95" s="73"/>
      <c r="N95" s="74"/>
    </row>
    <row r="96" spans="1:14" s="27" customFormat="1" ht="15" customHeight="1" thickBot="1" x14ac:dyDescent="0.35">
      <c r="A96" s="5"/>
      <c r="B96" s="6" t="s">
        <v>5</v>
      </c>
      <c r="C96" s="45">
        <v>0</v>
      </c>
      <c r="D96" s="45">
        <v>91495.67</v>
      </c>
      <c r="E96" s="45">
        <v>91495.67</v>
      </c>
      <c r="F96" s="67">
        <f>IFERROR(E96-C96,0)</f>
        <v>91495.67</v>
      </c>
      <c r="G96" s="45">
        <v>7633.39</v>
      </c>
      <c r="H96" s="67">
        <f t="shared" ref="H96:H98" si="36">IFERROR(E96-G96,0)</f>
        <v>83862.28</v>
      </c>
      <c r="I96" s="21">
        <f t="shared" ref="I96:I98" si="37">IFERROR(E96/C96-1,0)</f>
        <v>0</v>
      </c>
      <c r="J96" s="22">
        <f t="shared" ref="J96:J98" si="38">IFERROR(E96/G96-1,0)</f>
        <v>10.986243333564772</v>
      </c>
      <c r="K96" s="52">
        <v>91495.669999999984</v>
      </c>
      <c r="L96" s="67">
        <f>IFERROR(E96-K96,0)</f>
        <v>1.4551915228366852E-11</v>
      </c>
      <c r="M96" s="73"/>
      <c r="N96" s="74"/>
    </row>
    <row r="97" spans="1:14" s="27" customFormat="1" ht="15" customHeight="1" thickBot="1" x14ac:dyDescent="0.35">
      <c r="A97" s="5"/>
      <c r="B97" s="6" t="s">
        <v>6</v>
      </c>
      <c r="C97" s="45">
        <v>0</v>
      </c>
      <c r="D97" s="45">
        <v>22826</v>
      </c>
      <c r="E97" s="45">
        <v>22826</v>
      </c>
      <c r="F97" s="67">
        <f t="shared" ref="F97:F98" si="39">IFERROR(E97-C97,0)</f>
        <v>22826</v>
      </c>
      <c r="G97" s="45">
        <v>4470.3900000000003</v>
      </c>
      <c r="H97" s="67">
        <f t="shared" si="36"/>
        <v>18355.61</v>
      </c>
      <c r="I97" s="21">
        <f t="shared" si="37"/>
        <v>0</v>
      </c>
      <c r="J97" s="22">
        <f t="shared" si="38"/>
        <v>4.1060422021344891</v>
      </c>
      <c r="K97" s="52">
        <v>22826</v>
      </c>
      <c r="L97" s="67">
        <f>IFERROR(E97-K97,0)</f>
        <v>0</v>
      </c>
      <c r="M97" s="73"/>
      <c r="N97" s="74"/>
    </row>
    <row r="98" spans="1:14" s="27" customFormat="1" ht="15" customHeight="1" thickBot="1" x14ac:dyDescent="0.35">
      <c r="A98" s="5"/>
      <c r="B98" s="6" t="s">
        <v>7</v>
      </c>
      <c r="C98" s="45">
        <v>0</v>
      </c>
      <c r="D98" s="45">
        <v>5799.7200000000039</v>
      </c>
      <c r="E98" s="45">
        <v>5799.7200000000039</v>
      </c>
      <c r="F98" s="67">
        <f t="shared" si="39"/>
        <v>5799.7200000000039</v>
      </c>
      <c r="G98" s="45">
        <v>3981.3500000000008</v>
      </c>
      <c r="H98" s="67">
        <f t="shared" si="36"/>
        <v>1818.3700000000031</v>
      </c>
      <c r="I98" s="21">
        <f t="shared" si="37"/>
        <v>0</v>
      </c>
      <c r="J98" s="22">
        <f t="shared" si="38"/>
        <v>0.45672196616725547</v>
      </c>
      <c r="K98" s="52">
        <v>5799.7199999999984</v>
      </c>
      <c r="L98" s="67">
        <f>IFERROR(E98-K98,0)</f>
        <v>5.4569682106375694E-12</v>
      </c>
      <c r="M98" s="73"/>
      <c r="N98" s="74"/>
    </row>
    <row r="99" spans="1:14" s="27" customFormat="1" ht="5.0999999999999996" customHeight="1" thickBot="1" x14ac:dyDescent="0.35">
      <c r="A99" s="5"/>
      <c r="B99" s="6"/>
      <c r="C99" s="7"/>
      <c r="D99" s="7"/>
      <c r="E99" s="8"/>
      <c r="F99" s="67"/>
      <c r="G99" s="7"/>
      <c r="H99" s="67"/>
      <c r="I99" s="21"/>
      <c r="J99" s="21"/>
      <c r="K99" s="53"/>
      <c r="L99" s="67"/>
      <c r="M99" s="73"/>
      <c r="N99" s="74"/>
    </row>
    <row r="100" spans="1:14" s="27" customFormat="1" ht="15" customHeight="1" thickBot="1" x14ac:dyDescent="0.35">
      <c r="A100" s="5"/>
      <c r="B100" s="6" t="s">
        <v>8</v>
      </c>
      <c r="C100" s="45">
        <v>8640</v>
      </c>
      <c r="D100" s="45">
        <v>8640</v>
      </c>
      <c r="E100" s="46">
        <v>8640</v>
      </c>
      <c r="F100" s="67">
        <f>IFERROR(E100-C100,0)</f>
        <v>0</v>
      </c>
      <c r="G100" s="45">
        <v>8640</v>
      </c>
      <c r="H100" s="67">
        <f>IFERROR(E100-G100,0)</f>
        <v>0</v>
      </c>
      <c r="I100" s="23"/>
      <c r="J100" s="24"/>
      <c r="K100" s="52">
        <v>8640</v>
      </c>
      <c r="L100" s="67">
        <f>IFERROR(E100-K100,0)</f>
        <v>0</v>
      </c>
      <c r="M100" s="73"/>
      <c r="N100" s="74"/>
    </row>
    <row r="101" spans="1:14" s="27" customFormat="1" ht="15" customHeight="1" thickBot="1" x14ac:dyDescent="0.35">
      <c r="A101" s="5"/>
      <c r="B101" s="6" t="s">
        <v>9</v>
      </c>
      <c r="C101" s="45">
        <v>0</v>
      </c>
      <c r="D101" s="45">
        <v>1762</v>
      </c>
      <c r="E101" s="46">
        <v>1762</v>
      </c>
      <c r="F101" s="67">
        <f>IFERROR(E101-C101,0)</f>
        <v>1762</v>
      </c>
      <c r="G101" s="45">
        <v>0</v>
      </c>
      <c r="H101" s="67">
        <f>IFERROR(E101-G101,0)</f>
        <v>1762</v>
      </c>
      <c r="I101" s="23"/>
      <c r="J101" s="24"/>
      <c r="K101" s="52">
        <v>1762</v>
      </c>
      <c r="L101" s="67">
        <f>IFERROR(E101-K101,0)</f>
        <v>0</v>
      </c>
      <c r="M101" s="73"/>
      <c r="N101" s="74"/>
    </row>
    <row r="102" spans="1:14" s="38" customFormat="1" ht="15" customHeight="1" thickBot="1" x14ac:dyDescent="0.35">
      <c r="A102" s="9"/>
      <c r="B102" s="10" t="s">
        <v>10</v>
      </c>
      <c r="C102" s="11">
        <f>IFERROR(C101/C100,0)</f>
        <v>0</v>
      </c>
      <c r="D102" s="11">
        <f>IFERROR(D101/D100,0)</f>
        <v>0.20393518518518519</v>
      </c>
      <c r="E102" s="11">
        <f>IFERROR(E101/E100,0)</f>
        <v>0.20393518518518519</v>
      </c>
      <c r="F102" s="68">
        <f>IFERROR(E102-C102,0)</f>
        <v>0.20393518518518519</v>
      </c>
      <c r="G102" s="11">
        <f>IFERROR(G101/G100,0)</f>
        <v>0</v>
      </c>
      <c r="H102" s="68">
        <f>IFERROR(E102-G102,0)</f>
        <v>0.20393518518518519</v>
      </c>
      <c r="I102" s="20">
        <f>IFERROR(E102/C102-1,0)</f>
        <v>0</v>
      </c>
      <c r="J102" s="11">
        <f>IFERROR(E102/G102-1,0)</f>
        <v>0</v>
      </c>
      <c r="K102" s="12">
        <f>IFERROR(K101/K100,0)</f>
        <v>0.20393518518518519</v>
      </c>
      <c r="L102" s="68">
        <f>IFERROR(E102-K102,0)</f>
        <v>0</v>
      </c>
      <c r="M102" s="73"/>
      <c r="N102" s="74"/>
    </row>
    <row r="103" spans="1:14" s="27" customFormat="1" ht="5.0999999999999996" customHeight="1" thickBot="1" x14ac:dyDescent="0.35">
      <c r="A103" s="5"/>
      <c r="B103" s="6"/>
      <c r="C103" s="7"/>
      <c r="D103" s="13"/>
      <c r="E103" s="14"/>
      <c r="F103" s="67"/>
      <c r="G103" s="13"/>
      <c r="H103" s="67"/>
      <c r="I103" s="21"/>
      <c r="J103" s="22"/>
      <c r="K103" s="54"/>
      <c r="L103" s="67"/>
      <c r="M103" s="73"/>
      <c r="N103" s="74"/>
    </row>
    <row r="104" spans="1:14" s="27" customFormat="1" ht="15" customHeight="1" thickBot="1" x14ac:dyDescent="0.35">
      <c r="A104" s="5"/>
      <c r="B104" s="6" t="s">
        <v>11</v>
      </c>
      <c r="C104" s="45">
        <v>0</v>
      </c>
      <c r="D104" s="45">
        <v>3245</v>
      </c>
      <c r="E104" s="46">
        <v>3245</v>
      </c>
      <c r="F104" s="67">
        <f>IFERROR(E104-C104,0)</f>
        <v>3245</v>
      </c>
      <c r="G104" s="45">
        <v>0</v>
      </c>
      <c r="H104" s="67">
        <f>IFERROR(E104-G104,0)</f>
        <v>3245</v>
      </c>
      <c r="I104" s="21"/>
      <c r="J104" s="22"/>
      <c r="K104" s="52">
        <v>3245</v>
      </c>
      <c r="L104" s="67">
        <f>IFERROR(E104-K104,0)</f>
        <v>0</v>
      </c>
      <c r="M104" s="73"/>
      <c r="N104" s="74"/>
    </row>
    <row r="105" spans="1:14" s="27" customFormat="1" ht="15" customHeight="1" thickBot="1" x14ac:dyDescent="0.35">
      <c r="A105" s="5"/>
      <c r="B105" s="6" t="s">
        <v>12</v>
      </c>
      <c r="C105" s="15">
        <f>IFERROR(C104/C101,0)</f>
        <v>0</v>
      </c>
      <c r="D105" s="15">
        <f>IFERROR(D104/D101,0)</f>
        <v>1.8416572077185016</v>
      </c>
      <c r="E105" s="15">
        <f>IFERROR(E104/E101,0)</f>
        <v>1.8416572077185016</v>
      </c>
      <c r="F105" s="69">
        <f>IFERROR(E105-C105,0)</f>
        <v>1.8416572077185016</v>
      </c>
      <c r="G105" s="15">
        <f>IFERROR(G104/G101,0)</f>
        <v>0</v>
      </c>
      <c r="H105" s="69">
        <f>IFERROR(E105-G105,0)</f>
        <v>1.8416572077185016</v>
      </c>
      <c r="I105" s="21"/>
      <c r="J105" s="22"/>
      <c r="K105" s="55">
        <f>IFERROR(K104/K101,0)</f>
        <v>1.8416572077185016</v>
      </c>
      <c r="L105" s="69">
        <f>IFERROR(E105-K105,0)</f>
        <v>0</v>
      </c>
      <c r="M105" s="73"/>
      <c r="N105" s="74"/>
    </row>
    <row r="106" spans="1:14" s="27" customFormat="1" ht="5.0999999999999996" customHeight="1" thickBot="1" x14ac:dyDescent="0.35">
      <c r="A106" s="5"/>
      <c r="B106" s="6"/>
      <c r="C106" s="7"/>
      <c r="D106" s="13"/>
      <c r="E106" s="14"/>
      <c r="F106" s="69"/>
      <c r="G106" s="13"/>
      <c r="H106" s="69"/>
      <c r="I106" s="21"/>
      <c r="J106" s="22"/>
      <c r="K106" s="54"/>
      <c r="L106" s="69"/>
      <c r="M106" s="73"/>
      <c r="N106" s="74"/>
    </row>
    <row r="107" spans="1:14" s="27" customFormat="1" ht="15" customHeight="1" thickBot="1" x14ac:dyDescent="0.35">
      <c r="A107" s="5"/>
      <c r="B107" s="6" t="s">
        <v>13</v>
      </c>
      <c r="C107" s="15">
        <f>IFERROR(C96/C101,0)</f>
        <v>0</v>
      </c>
      <c r="D107" s="15">
        <f>IFERROR(D96/D101,0)</f>
        <v>51.927167990919408</v>
      </c>
      <c r="E107" s="15">
        <f>IFERROR(E96/E101,0)</f>
        <v>51.927167990919408</v>
      </c>
      <c r="F107" s="69">
        <f>IFERROR(E107-C107,0)</f>
        <v>51.927167990919408</v>
      </c>
      <c r="G107" s="15">
        <f>IFERROR(G96/G101,0)</f>
        <v>0</v>
      </c>
      <c r="H107" s="69">
        <f>IFERROR(E107-G107,0)</f>
        <v>51.927167990919408</v>
      </c>
      <c r="I107" s="21">
        <f>IFERROR(E107/C107-1,0)</f>
        <v>0</v>
      </c>
      <c r="J107" s="22">
        <f>IFERROR(E107/G107-1,0)</f>
        <v>0</v>
      </c>
      <c r="K107" s="55">
        <f>IFERROR(K96/K101,0)</f>
        <v>51.927167990919401</v>
      </c>
      <c r="L107" s="69">
        <f>IFERROR(E107-K107,0)</f>
        <v>7.1054273576010019E-15</v>
      </c>
      <c r="M107" s="73"/>
      <c r="N107" s="74"/>
    </row>
    <row r="108" spans="1:14" s="38" customFormat="1" ht="15" customHeight="1" thickBot="1" x14ac:dyDescent="0.35">
      <c r="A108" s="9"/>
      <c r="B108" s="10" t="s">
        <v>14</v>
      </c>
      <c r="C108" s="16">
        <f>IFERROR(C96/C100,0)</f>
        <v>0</v>
      </c>
      <c r="D108" s="16">
        <f>IFERROR(D96/D100,0)</f>
        <v>10.589776620370371</v>
      </c>
      <c r="E108" s="16">
        <f>IFERROR(E96/E100,0)</f>
        <v>10.589776620370371</v>
      </c>
      <c r="F108" s="70">
        <f t="shared" ref="F108:F109" si="40">IFERROR(E108-C108,0)</f>
        <v>10.589776620370371</v>
      </c>
      <c r="G108" s="16">
        <f>IFERROR(G96/G100,0)</f>
        <v>0.88349421296296304</v>
      </c>
      <c r="H108" s="70">
        <f t="shared" ref="H108:H109" si="41">IFERROR(E108-G108,0)</f>
        <v>9.7062824074074072</v>
      </c>
      <c r="I108" s="20">
        <f>IFERROR(E108/C108-1,0)</f>
        <v>0</v>
      </c>
      <c r="J108" s="11">
        <f>IFERROR(E108/G108-1,0)</f>
        <v>10.986243333564772</v>
      </c>
      <c r="K108" s="56">
        <f>IFERROR(K96/K100,0)</f>
        <v>10.589776620370369</v>
      </c>
      <c r="L108" s="70">
        <f>IFERROR(E108-K108,0)</f>
        <v>1.7763568394002505E-15</v>
      </c>
      <c r="M108" s="73"/>
      <c r="N108" s="74"/>
    </row>
    <row r="109" spans="1:14" ht="15" customHeight="1" thickBot="1" x14ac:dyDescent="0.35">
      <c r="A109" s="17"/>
      <c r="B109" s="18" t="s">
        <v>34</v>
      </c>
      <c r="C109" s="19">
        <f>IFERROR(C95/C101,0)</f>
        <v>0</v>
      </c>
      <c r="D109" s="19">
        <f>IFERROR(D95/D101,0)</f>
        <v>68.173320090805902</v>
      </c>
      <c r="E109" s="19">
        <f>IFERROR(E95/E101,0)</f>
        <v>68.173320090805902</v>
      </c>
      <c r="F109" s="72">
        <f t="shared" si="40"/>
        <v>68.173320090805902</v>
      </c>
      <c r="G109" s="19">
        <f>IFERROR(G95/G101,0)</f>
        <v>0</v>
      </c>
      <c r="H109" s="72">
        <f t="shared" si="41"/>
        <v>68.173320090805902</v>
      </c>
      <c r="I109" s="25">
        <f>IFERROR(E109/C109-1,0)</f>
        <v>0</v>
      </c>
      <c r="J109" s="26">
        <f>IFERROR(E109/G109-1,0)</f>
        <v>0</v>
      </c>
      <c r="K109" s="57">
        <f>IFERROR(K95/K101,0)</f>
        <v>68.173320090805888</v>
      </c>
      <c r="L109" s="72">
        <f>IFERROR(E109-K109,0)</f>
        <v>1.4210854715202004E-14</v>
      </c>
      <c r="M109" s="73"/>
      <c r="N109" s="74"/>
    </row>
    <row r="110" spans="1:14" s="27" customFormat="1" ht="15" customHeight="1" thickBot="1" x14ac:dyDescent="0.35">
      <c r="A110" s="36"/>
      <c r="B110" s="59" t="s">
        <v>15</v>
      </c>
      <c r="C110" s="60">
        <f>SUM(C111:C113)</f>
        <v>718322.80995242065</v>
      </c>
      <c r="D110" s="61">
        <f>SUM(D111:D113)</f>
        <v>501160.29000000004</v>
      </c>
      <c r="E110" s="61">
        <f>SUM(E111:E113)</f>
        <v>501160.29000000004</v>
      </c>
      <c r="F110" s="71">
        <f>IFERROR(SUM(F111:F113),0)</f>
        <v>-217162.51995242067</v>
      </c>
      <c r="G110" s="61">
        <f>SUM(G111:G113)</f>
        <v>82150.240000000005</v>
      </c>
      <c r="H110" s="71">
        <f>IFERROR(E110-G110,0)</f>
        <v>419010.05000000005</v>
      </c>
      <c r="I110" s="62">
        <f>IFERROR(E110/C110-1,0)</f>
        <v>-0.30231884181264512</v>
      </c>
      <c r="J110" s="63">
        <f>IFERROR(E110/G110-1,0)</f>
        <v>5.1005334859642533</v>
      </c>
      <c r="K110" s="64">
        <f>SUM(K111:K113)</f>
        <v>501160.29</v>
      </c>
      <c r="L110" s="71">
        <f>IFERROR(SUM(L111:L113),0)</f>
        <v>2.9103830456733704E-11</v>
      </c>
      <c r="M110" s="73"/>
      <c r="N110" s="74"/>
    </row>
    <row r="111" spans="1:14" s="27" customFormat="1" ht="15" customHeight="1" thickBot="1" x14ac:dyDescent="0.35">
      <c r="A111" s="5"/>
      <c r="B111" s="6" t="s">
        <v>5</v>
      </c>
      <c r="C111" s="45">
        <v>589065</v>
      </c>
      <c r="D111" s="45">
        <v>379699.85</v>
      </c>
      <c r="E111" s="45">
        <v>379699.85</v>
      </c>
      <c r="F111" s="67">
        <f>IFERROR(E111-C111,0)</f>
        <v>-209365.15000000002</v>
      </c>
      <c r="G111" s="45">
        <v>44601.94</v>
      </c>
      <c r="H111" s="67">
        <f t="shared" ref="H111:H113" si="42">IFERROR(E111-G111,0)</f>
        <v>335097.90999999997</v>
      </c>
      <c r="I111" s="21">
        <f t="shared" ref="I111:I113" si="43">IFERROR(E111/C111-1,0)</f>
        <v>-0.35541943588568325</v>
      </c>
      <c r="J111" s="22">
        <f t="shared" ref="J111:J113" si="44">IFERROR(E111/G111-1,0)</f>
        <v>7.5130792517096783</v>
      </c>
      <c r="K111" s="52">
        <v>379699.85</v>
      </c>
      <c r="L111" s="67">
        <f>IFERROR(E111-K111,0)</f>
        <v>0</v>
      </c>
      <c r="M111" s="73"/>
      <c r="N111" s="74"/>
    </row>
    <row r="112" spans="1:14" s="27" customFormat="1" ht="15" customHeight="1" thickBot="1" x14ac:dyDescent="0.35">
      <c r="A112" s="5"/>
      <c r="B112" s="6" t="s">
        <v>6</v>
      </c>
      <c r="C112" s="45">
        <v>113561.30575073999</v>
      </c>
      <c r="D112" s="45">
        <v>100794.35000000003</v>
      </c>
      <c r="E112" s="45">
        <v>100794.35000000003</v>
      </c>
      <c r="F112" s="67">
        <f t="shared" ref="F112:F113" si="45">IFERROR(E112-C112,0)</f>
        <v>-12766.955750739959</v>
      </c>
      <c r="G112" s="45">
        <v>33246.17</v>
      </c>
      <c r="H112" s="67">
        <f t="shared" si="42"/>
        <v>67548.180000000037</v>
      </c>
      <c r="I112" s="21">
        <f t="shared" si="43"/>
        <v>-0.11242346736275322</v>
      </c>
      <c r="J112" s="22">
        <f t="shared" si="44"/>
        <v>2.0317582446338944</v>
      </c>
      <c r="K112" s="52">
        <v>100794.35000000003</v>
      </c>
      <c r="L112" s="67">
        <f>IFERROR(E112-K112,0)</f>
        <v>0</v>
      </c>
      <c r="M112" s="73"/>
      <c r="N112" s="74"/>
    </row>
    <row r="113" spans="1:14" s="27" customFormat="1" ht="15" customHeight="1" thickBot="1" x14ac:dyDescent="0.35">
      <c r="A113" s="5"/>
      <c r="B113" s="6" t="s">
        <v>7</v>
      </c>
      <c r="C113" s="45">
        <v>15696.5042016807</v>
      </c>
      <c r="D113" s="45">
        <v>20666.09</v>
      </c>
      <c r="E113" s="45">
        <v>20666.09</v>
      </c>
      <c r="F113" s="67">
        <f t="shared" si="45"/>
        <v>4969.5857983193</v>
      </c>
      <c r="G113" s="45">
        <v>4302.13</v>
      </c>
      <c r="H113" s="67">
        <f t="shared" si="42"/>
        <v>16363.96</v>
      </c>
      <c r="I113" s="21">
        <f t="shared" si="43"/>
        <v>0.31660462319929694</v>
      </c>
      <c r="J113" s="22">
        <f t="shared" si="44"/>
        <v>3.8036879406247603</v>
      </c>
      <c r="K113" s="52">
        <v>20666.089999999971</v>
      </c>
      <c r="L113" s="67">
        <f>IFERROR(E113-K113,0)</f>
        <v>2.9103830456733704E-11</v>
      </c>
      <c r="M113" s="73"/>
      <c r="N113" s="74"/>
    </row>
    <row r="114" spans="1:14" s="27" customFormat="1" ht="5.0999999999999996" customHeight="1" thickBot="1" x14ac:dyDescent="0.35">
      <c r="A114" s="5"/>
      <c r="B114" s="6"/>
      <c r="C114" s="7"/>
      <c r="D114" s="7"/>
      <c r="E114" s="8"/>
      <c r="F114" s="67"/>
      <c r="G114" s="7"/>
      <c r="H114" s="67"/>
      <c r="I114" s="21"/>
      <c r="J114" s="21"/>
      <c r="K114" s="53"/>
      <c r="L114" s="67"/>
      <c r="M114" s="73"/>
      <c r="N114" s="74"/>
    </row>
    <row r="115" spans="1:14" s="27" customFormat="1" ht="15" customHeight="1" thickBot="1" x14ac:dyDescent="0.35">
      <c r="A115" s="5"/>
      <c r="B115" s="6" t="s">
        <v>8</v>
      </c>
      <c r="C115" s="45">
        <v>8928</v>
      </c>
      <c r="D115" s="45">
        <v>8928</v>
      </c>
      <c r="E115" s="46">
        <v>8928</v>
      </c>
      <c r="F115" s="67">
        <f>IFERROR(E115-C115,0)</f>
        <v>0</v>
      </c>
      <c r="G115" s="45">
        <v>8928</v>
      </c>
      <c r="H115" s="67">
        <f>IFERROR(E115-G115,0)</f>
        <v>0</v>
      </c>
      <c r="I115" s="23"/>
      <c r="J115" s="24"/>
      <c r="K115" s="52">
        <v>8928</v>
      </c>
      <c r="L115" s="67">
        <f>IFERROR(E115-K115,0)</f>
        <v>0</v>
      </c>
      <c r="M115" s="73"/>
      <c r="N115" s="74"/>
    </row>
    <row r="116" spans="1:14" s="27" customFormat="1" ht="15" customHeight="1" thickBot="1" x14ac:dyDescent="0.35">
      <c r="A116" s="5"/>
      <c r="B116" s="6" t="s">
        <v>9</v>
      </c>
      <c r="C116" s="45">
        <v>7500</v>
      </c>
      <c r="D116" s="45">
        <v>7215</v>
      </c>
      <c r="E116" s="46">
        <v>7215</v>
      </c>
      <c r="F116" s="67">
        <f>IFERROR(E116-C116,0)</f>
        <v>-285</v>
      </c>
      <c r="G116" s="45">
        <v>1001</v>
      </c>
      <c r="H116" s="67">
        <f>IFERROR(E116-G116,0)</f>
        <v>6214</v>
      </c>
      <c r="I116" s="23"/>
      <c r="J116" s="24"/>
      <c r="K116" s="52">
        <v>7215</v>
      </c>
      <c r="L116" s="67">
        <f>IFERROR(E116-K116,0)</f>
        <v>0</v>
      </c>
      <c r="M116" s="73"/>
      <c r="N116" s="74"/>
    </row>
    <row r="117" spans="1:14" s="38" customFormat="1" ht="15" customHeight="1" thickBot="1" x14ac:dyDescent="0.35">
      <c r="A117" s="9"/>
      <c r="B117" s="10" t="s">
        <v>10</v>
      </c>
      <c r="C117" s="11">
        <f>IFERROR(C116/C115,0)</f>
        <v>0.84005376344086025</v>
      </c>
      <c r="D117" s="11">
        <f>IFERROR(D116/D115,0)</f>
        <v>0.8081317204301075</v>
      </c>
      <c r="E117" s="11">
        <f>IFERROR(E116/E115,0)</f>
        <v>0.8081317204301075</v>
      </c>
      <c r="F117" s="68">
        <f>IFERROR(E117-C117,0)</f>
        <v>-3.1922043010752743E-2</v>
      </c>
      <c r="G117" s="11">
        <f>IFERROR(G116/G115,0)</f>
        <v>0.11211917562724015</v>
      </c>
      <c r="H117" s="68">
        <f>IFERROR(E117-G117,0)</f>
        <v>0.69601254480286734</v>
      </c>
      <c r="I117" s="20">
        <f>IFERROR(E117/C117-1,0)</f>
        <v>-3.8000000000000034E-2</v>
      </c>
      <c r="J117" s="11">
        <f>IFERROR(E117/G117-1,0)</f>
        <v>6.207792207792207</v>
      </c>
      <c r="K117" s="12">
        <f>IFERROR(K116/K115,0)</f>
        <v>0.8081317204301075</v>
      </c>
      <c r="L117" s="68">
        <f>IFERROR(E117-K117,0)</f>
        <v>0</v>
      </c>
      <c r="M117" s="73"/>
      <c r="N117" s="74"/>
    </row>
    <row r="118" spans="1:14" s="27" customFormat="1" ht="5.0999999999999996" customHeight="1" thickBot="1" x14ac:dyDescent="0.35">
      <c r="A118" s="5"/>
      <c r="B118" s="6"/>
      <c r="C118" s="7"/>
      <c r="D118" s="13"/>
      <c r="E118" s="14"/>
      <c r="F118" s="67"/>
      <c r="G118" s="13"/>
      <c r="H118" s="67"/>
      <c r="I118" s="21"/>
      <c r="J118" s="22"/>
      <c r="K118" s="54"/>
      <c r="L118" s="67"/>
      <c r="M118" s="73"/>
      <c r="N118" s="74"/>
    </row>
    <row r="119" spans="1:14" s="27" customFormat="1" ht="15" customHeight="1" thickBot="1" x14ac:dyDescent="0.35">
      <c r="A119" s="5"/>
      <c r="B119" s="6" t="s">
        <v>11</v>
      </c>
      <c r="C119" s="45">
        <v>15945.75</v>
      </c>
      <c r="D119" s="45">
        <v>13838</v>
      </c>
      <c r="E119" s="46">
        <v>13838</v>
      </c>
      <c r="F119" s="67">
        <f>IFERROR(E119-C119,0)</f>
        <v>-2107.75</v>
      </c>
      <c r="G119" s="45">
        <v>2704</v>
      </c>
      <c r="H119" s="67">
        <f>IFERROR(E119-G119,0)</f>
        <v>11134</v>
      </c>
      <c r="I119" s="21"/>
      <c r="J119" s="22"/>
      <c r="K119" s="52">
        <v>13838</v>
      </c>
      <c r="L119" s="67">
        <f>IFERROR(E119-K119,0)</f>
        <v>0</v>
      </c>
      <c r="M119" s="73"/>
      <c r="N119" s="74"/>
    </row>
    <row r="120" spans="1:14" s="27" customFormat="1" ht="15" customHeight="1" thickBot="1" x14ac:dyDescent="0.35">
      <c r="A120" s="5"/>
      <c r="B120" s="6" t="s">
        <v>12</v>
      </c>
      <c r="C120" s="15">
        <f>IFERROR(C119/C116,0)</f>
        <v>2.1261000000000001</v>
      </c>
      <c r="D120" s="15">
        <f>IFERROR(D119/D116,0)</f>
        <v>1.917948717948718</v>
      </c>
      <c r="E120" s="15">
        <f>IFERROR(E119/E116,0)</f>
        <v>1.917948717948718</v>
      </c>
      <c r="F120" s="69">
        <f>IFERROR(E120-C120,0)</f>
        <v>-0.20815128205128208</v>
      </c>
      <c r="G120" s="15">
        <f>IFERROR(G119/G116,0)</f>
        <v>2.7012987012987013</v>
      </c>
      <c r="H120" s="69">
        <f>IFERROR(E120-G120,0)</f>
        <v>-0.78334998334998329</v>
      </c>
      <c r="I120" s="21"/>
      <c r="J120" s="22"/>
      <c r="K120" s="55">
        <f>IFERROR(K119/K116,0)</f>
        <v>1.917948717948718</v>
      </c>
      <c r="L120" s="69">
        <f>IFERROR(E120-K120,0)</f>
        <v>0</v>
      </c>
      <c r="M120" s="73"/>
      <c r="N120" s="74"/>
    </row>
    <row r="121" spans="1:14" s="27" customFormat="1" ht="5.0999999999999996" customHeight="1" thickBot="1" x14ac:dyDescent="0.35">
      <c r="A121" s="5"/>
      <c r="B121" s="6"/>
      <c r="C121" s="7"/>
      <c r="D121" s="13"/>
      <c r="E121" s="14"/>
      <c r="F121" s="69"/>
      <c r="G121" s="13"/>
      <c r="H121" s="69"/>
      <c r="I121" s="21"/>
      <c r="J121" s="22"/>
      <c r="K121" s="54"/>
      <c r="L121" s="69"/>
      <c r="M121" s="73"/>
      <c r="N121" s="74"/>
    </row>
    <row r="122" spans="1:14" s="27" customFormat="1" ht="15" customHeight="1" thickBot="1" x14ac:dyDescent="0.35">
      <c r="A122" s="5"/>
      <c r="B122" s="6" t="s">
        <v>13</v>
      </c>
      <c r="C122" s="15">
        <f>IFERROR(C111/C116,0)</f>
        <v>78.542000000000002</v>
      </c>
      <c r="D122" s="15">
        <f>IFERROR(D111/D116,0)</f>
        <v>52.626451836451835</v>
      </c>
      <c r="E122" s="15">
        <f>IFERROR(E111/E116,0)</f>
        <v>52.626451836451835</v>
      </c>
      <c r="F122" s="69">
        <f>IFERROR(E122-C122,0)</f>
        <v>-25.915548163548166</v>
      </c>
      <c r="G122" s="15">
        <f>IFERROR(G111/G116,0)</f>
        <v>44.557382617382622</v>
      </c>
      <c r="H122" s="69">
        <f>IFERROR(E122-G122,0)</f>
        <v>8.0690692190692133</v>
      </c>
      <c r="I122" s="21">
        <f>IFERROR(E122/C122-1,0)</f>
        <v>-0.32995783356100128</v>
      </c>
      <c r="J122" s="22">
        <f>IFERROR(E122/G122-1,0)</f>
        <v>0.18109387816512656</v>
      </c>
      <c r="K122" s="55">
        <f>IFERROR(K111/K116,0)</f>
        <v>52.626451836451835</v>
      </c>
      <c r="L122" s="69">
        <f>IFERROR(E122-K122,0)</f>
        <v>0</v>
      </c>
      <c r="M122" s="73"/>
      <c r="N122" s="74"/>
    </row>
    <row r="123" spans="1:14" s="38" customFormat="1" ht="15" customHeight="1" thickBot="1" x14ac:dyDescent="0.35">
      <c r="A123" s="9"/>
      <c r="B123" s="10" t="s">
        <v>14</v>
      </c>
      <c r="C123" s="16">
        <f>IFERROR(C111/C115,0)</f>
        <v>65.979502688172047</v>
      </c>
      <c r="D123" s="16">
        <f>IFERROR(D111/D115,0)</f>
        <v>42.529105062724014</v>
      </c>
      <c r="E123" s="16">
        <f>IFERROR(E111/E115,0)</f>
        <v>42.529105062724014</v>
      </c>
      <c r="F123" s="70">
        <f t="shared" ref="F123:F124" si="46">IFERROR(E123-C123,0)</f>
        <v>-23.450397625448034</v>
      </c>
      <c r="G123" s="16">
        <f>IFERROR(G111/G115,0)</f>
        <v>4.9957370071684588</v>
      </c>
      <c r="H123" s="70">
        <f t="shared" ref="H123:H124" si="47">IFERROR(E123-G123,0)</f>
        <v>37.533368055555556</v>
      </c>
      <c r="I123" s="20">
        <f>IFERROR(E123/C123-1,0)</f>
        <v>-0.35541943588568325</v>
      </c>
      <c r="J123" s="11">
        <f>IFERROR(E123/G123-1,0)</f>
        <v>7.5130792517096783</v>
      </c>
      <c r="K123" s="56">
        <f>IFERROR(K111/K115,0)</f>
        <v>42.529105062724014</v>
      </c>
      <c r="L123" s="70">
        <f>IFERROR(E123-K123,0)</f>
        <v>0</v>
      </c>
      <c r="M123" s="73"/>
      <c r="N123" s="74"/>
    </row>
    <row r="124" spans="1:14" ht="15" customHeight="1" thickBot="1" x14ac:dyDescent="0.35">
      <c r="A124" s="17"/>
      <c r="B124" s="18" t="s">
        <v>34</v>
      </c>
      <c r="C124" s="19">
        <f>IFERROR(C110/C116,0)</f>
        <v>95.776374660322759</v>
      </c>
      <c r="D124" s="19">
        <f>IFERROR(D110/D116,0)</f>
        <v>69.460885654885658</v>
      </c>
      <c r="E124" s="19">
        <f>IFERROR(E110/E116,0)</f>
        <v>69.460885654885658</v>
      </c>
      <c r="F124" s="72">
        <f t="shared" si="46"/>
        <v>-26.315489005437101</v>
      </c>
      <c r="G124" s="19">
        <f>IFERROR(G110/G116,0)</f>
        <v>82.068171828171828</v>
      </c>
      <c r="H124" s="72">
        <f t="shared" si="47"/>
        <v>-12.60728617328617</v>
      </c>
      <c r="I124" s="25">
        <f>IFERROR(E124/C124-1,0)</f>
        <v>-0.27475971082395556</v>
      </c>
      <c r="J124" s="26">
        <f>IFERROR(E124/G124-1,0)</f>
        <v>-0.15361967852387837</v>
      </c>
      <c r="K124" s="57">
        <f>IFERROR(K110/K116,0)</f>
        <v>69.460885654885658</v>
      </c>
      <c r="L124" s="72">
        <f>IFERROR(E124-K124,0)</f>
        <v>0</v>
      </c>
      <c r="M124" s="73"/>
      <c r="N124" s="74"/>
    </row>
    <row r="125" spans="1:14" s="27" customFormat="1" ht="15" customHeight="1" thickBot="1" x14ac:dyDescent="0.35">
      <c r="A125" s="1"/>
      <c r="B125" s="2" t="s">
        <v>16</v>
      </c>
      <c r="C125" s="3">
        <f>SUM(C126:C128)</f>
        <v>730657.69570690836</v>
      </c>
      <c r="D125" s="3">
        <f>SUM(D126:D128)</f>
        <v>611922.98999999976</v>
      </c>
      <c r="E125" s="4">
        <f>SUM(E126:E128)</f>
        <v>611922.98999999976</v>
      </c>
      <c r="F125" s="71">
        <f>IFERROR(SUM(F126:F128),0)</f>
        <v>-118734.7057069086</v>
      </c>
      <c r="G125" s="3">
        <f>SUM(G126:G128)</f>
        <v>439689.88999999996</v>
      </c>
      <c r="H125" s="71">
        <f>IFERROR(E125-G125,0)</f>
        <v>172233.0999999998</v>
      </c>
      <c r="I125" s="20">
        <f>IFERROR(E125/C125-1,0)</f>
        <v>-0.16250387343423967</v>
      </c>
      <c r="J125" s="11">
        <f>IFERROR(E125/G125-1,0)</f>
        <v>0.39171494254734807</v>
      </c>
      <c r="K125" s="51">
        <f>SUM(K126:K128)</f>
        <v>611922.98999999976</v>
      </c>
      <c r="L125" s="71">
        <f>IFERROR(SUM(L126:L128),0)</f>
        <v>4.7293724492192268E-11</v>
      </c>
      <c r="M125" s="73"/>
      <c r="N125" s="74"/>
    </row>
    <row r="126" spans="1:14" s="27" customFormat="1" ht="15" customHeight="1" thickBot="1" x14ac:dyDescent="0.35">
      <c r="A126" s="5"/>
      <c r="B126" s="6" t="s">
        <v>5</v>
      </c>
      <c r="C126" s="45">
        <v>597762</v>
      </c>
      <c r="D126" s="45">
        <v>471798.25999999978</v>
      </c>
      <c r="E126" s="45">
        <v>471798.25999999978</v>
      </c>
      <c r="F126" s="67">
        <f>IFERROR(E126-C126,0)</f>
        <v>-125963.74000000022</v>
      </c>
      <c r="G126" s="45">
        <v>328805.8</v>
      </c>
      <c r="H126" s="67">
        <f t="shared" ref="H126:H128" si="48">IFERROR(E126-G126,0)</f>
        <v>142992.45999999979</v>
      </c>
      <c r="I126" s="21">
        <f t="shared" ref="I126:I128" si="49">IFERROR(E126/C126-1,0)</f>
        <v>-0.21072557305415907</v>
      </c>
      <c r="J126" s="22">
        <f t="shared" ref="J126:J128" si="50">IFERROR(E126/G126-1,0)</f>
        <v>0.4348842386600229</v>
      </c>
      <c r="K126" s="52">
        <v>471798.25999999978</v>
      </c>
      <c r="L126" s="67">
        <f>IFERROR(E126-K126,0)</f>
        <v>0</v>
      </c>
      <c r="M126" s="73"/>
      <c r="N126" s="74"/>
    </row>
    <row r="127" spans="1:14" s="27" customFormat="1" ht="15" customHeight="1" thickBot="1" x14ac:dyDescent="0.35">
      <c r="A127" s="5"/>
      <c r="B127" s="6" t="s">
        <v>6</v>
      </c>
      <c r="C127" s="45">
        <v>115101.7031859</v>
      </c>
      <c r="D127" s="45">
        <v>114150.23</v>
      </c>
      <c r="E127" s="45">
        <v>114150.23</v>
      </c>
      <c r="F127" s="67">
        <f t="shared" ref="F127:F128" si="51">IFERROR(E127-C127,0)</f>
        <v>-951.47318590000214</v>
      </c>
      <c r="G127" s="45">
        <v>88722.349999999991</v>
      </c>
      <c r="H127" s="67">
        <f t="shared" si="48"/>
        <v>25427.880000000005</v>
      </c>
      <c r="I127" s="21">
        <f t="shared" si="49"/>
        <v>-8.2663693026616691E-3</v>
      </c>
      <c r="J127" s="22">
        <f t="shared" si="50"/>
        <v>0.28660061416317317</v>
      </c>
      <c r="K127" s="52">
        <v>114150.23</v>
      </c>
      <c r="L127" s="67">
        <f>IFERROR(E127-K127,0)</f>
        <v>0</v>
      </c>
      <c r="M127" s="73"/>
      <c r="N127" s="74"/>
    </row>
    <row r="128" spans="1:14" s="27" customFormat="1" ht="15" customHeight="1" thickBot="1" x14ac:dyDescent="0.35">
      <c r="A128" s="5"/>
      <c r="B128" s="6" t="s">
        <v>7</v>
      </c>
      <c r="C128" s="45">
        <v>17793.9925210084</v>
      </c>
      <c r="D128" s="45">
        <v>25974.500000000018</v>
      </c>
      <c r="E128" s="45">
        <v>25974.500000000018</v>
      </c>
      <c r="F128" s="67">
        <f t="shared" si="51"/>
        <v>8180.507478991618</v>
      </c>
      <c r="G128" s="45">
        <v>22161.74</v>
      </c>
      <c r="H128" s="67">
        <f t="shared" si="48"/>
        <v>3812.7600000000166</v>
      </c>
      <c r="I128" s="21">
        <f t="shared" si="49"/>
        <v>0.45973423161403137</v>
      </c>
      <c r="J128" s="22">
        <f t="shared" si="50"/>
        <v>0.17204244793053336</v>
      </c>
      <c r="K128" s="52">
        <v>25974.499999999971</v>
      </c>
      <c r="L128" s="67">
        <f>IFERROR(E128-K128,0)</f>
        <v>4.7293724492192268E-11</v>
      </c>
      <c r="M128" s="73"/>
      <c r="N128" s="74"/>
    </row>
    <row r="129" spans="1:14" s="27" customFormat="1" ht="5.0999999999999996" customHeight="1" thickBot="1" x14ac:dyDescent="0.35">
      <c r="A129" s="5"/>
      <c r="B129" s="6"/>
      <c r="C129" s="7"/>
      <c r="D129" s="7"/>
      <c r="E129" s="8"/>
      <c r="F129" s="67"/>
      <c r="G129" s="7"/>
      <c r="H129" s="67"/>
      <c r="I129" s="21"/>
      <c r="J129" s="21"/>
      <c r="K129" s="53"/>
      <c r="L129" s="67"/>
      <c r="M129" s="73"/>
      <c r="N129" s="74"/>
    </row>
    <row r="130" spans="1:14" s="27" customFormat="1" ht="15" customHeight="1" thickBot="1" x14ac:dyDescent="0.35">
      <c r="A130" s="5"/>
      <c r="B130" s="6" t="s">
        <v>8</v>
      </c>
      <c r="C130" s="45">
        <v>8928</v>
      </c>
      <c r="D130" s="45">
        <v>8928</v>
      </c>
      <c r="E130" s="46">
        <v>8928</v>
      </c>
      <c r="F130" s="67">
        <f>IFERROR(E130-C130,0)</f>
        <v>0</v>
      </c>
      <c r="G130" s="45">
        <v>8928</v>
      </c>
      <c r="H130" s="67">
        <f>IFERROR(E130-G130,0)</f>
        <v>0</v>
      </c>
      <c r="I130" s="23"/>
      <c r="J130" s="24"/>
      <c r="K130" s="52">
        <v>8928</v>
      </c>
      <c r="L130" s="67">
        <f>IFERROR(E130-K130,0)</f>
        <v>0</v>
      </c>
      <c r="M130" s="73"/>
      <c r="N130" s="74"/>
    </row>
    <row r="131" spans="1:14" s="27" customFormat="1" ht="15" customHeight="1" thickBot="1" x14ac:dyDescent="0.35">
      <c r="A131" s="5"/>
      <c r="B131" s="6" t="s">
        <v>9</v>
      </c>
      <c r="C131" s="45">
        <v>7475</v>
      </c>
      <c r="D131" s="45">
        <v>7994</v>
      </c>
      <c r="E131" s="46">
        <v>7994</v>
      </c>
      <c r="F131" s="67">
        <f>IFERROR(E131-C131,0)</f>
        <v>519</v>
      </c>
      <c r="G131" s="45">
        <v>6092</v>
      </c>
      <c r="H131" s="67">
        <f>IFERROR(E131-G131,0)</f>
        <v>1902</v>
      </c>
      <c r="I131" s="23"/>
      <c r="J131" s="24"/>
      <c r="K131" s="52">
        <v>7994</v>
      </c>
      <c r="L131" s="67">
        <f>IFERROR(E131-K131,0)</f>
        <v>0</v>
      </c>
      <c r="M131" s="73"/>
      <c r="N131" s="74"/>
    </row>
    <row r="132" spans="1:14" s="38" customFormat="1" ht="15" customHeight="1" thickBot="1" x14ac:dyDescent="0.35">
      <c r="A132" s="9"/>
      <c r="B132" s="10" t="s">
        <v>10</v>
      </c>
      <c r="C132" s="11">
        <f>IFERROR(C131/C130,0)</f>
        <v>0.83725358422939067</v>
      </c>
      <c r="D132" s="11">
        <f>IFERROR(D131/D130,0)</f>
        <v>0.89538530465949817</v>
      </c>
      <c r="E132" s="11">
        <f>IFERROR(E131/E130,0)</f>
        <v>0.89538530465949817</v>
      </c>
      <c r="F132" s="68">
        <f>IFERROR(E132-C132,0)</f>
        <v>5.8131720430107503E-2</v>
      </c>
      <c r="G132" s="11">
        <f>IFERROR(G131/G130,0)</f>
        <v>0.68234767025089604</v>
      </c>
      <c r="H132" s="68">
        <f>IFERROR(E132-G132,0)</f>
        <v>0.21303763440860213</v>
      </c>
      <c r="I132" s="20">
        <f>IFERROR(E132/C132-1,0)</f>
        <v>6.9431438127090184E-2</v>
      </c>
      <c r="J132" s="11">
        <f>IFERROR(E132/G132-1,0)</f>
        <v>0.31221273801707161</v>
      </c>
      <c r="K132" s="12">
        <f>IFERROR(K131/K130,0)</f>
        <v>0.89538530465949817</v>
      </c>
      <c r="L132" s="68">
        <f>IFERROR(E132-K132,0)</f>
        <v>0</v>
      </c>
      <c r="M132" s="73"/>
      <c r="N132" s="74"/>
    </row>
    <row r="133" spans="1:14" s="27" customFormat="1" ht="5.0999999999999996" customHeight="1" thickBot="1" x14ac:dyDescent="0.35">
      <c r="A133" s="5"/>
      <c r="B133" s="6"/>
      <c r="C133" s="7"/>
      <c r="D133" s="13"/>
      <c r="E133" s="14"/>
      <c r="F133" s="67"/>
      <c r="G133" s="13"/>
      <c r="H133" s="67"/>
      <c r="I133" s="21"/>
      <c r="J133" s="22"/>
      <c r="K133" s="54"/>
      <c r="L133" s="67"/>
      <c r="M133" s="73"/>
      <c r="N133" s="74"/>
    </row>
    <row r="134" spans="1:14" s="27" customFormat="1" ht="15" customHeight="1" thickBot="1" x14ac:dyDescent="0.35">
      <c r="A134" s="5"/>
      <c r="B134" s="6" t="s">
        <v>11</v>
      </c>
      <c r="C134" s="45">
        <v>16005</v>
      </c>
      <c r="D134" s="45">
        <v>14761</v>
      </c>
      <c r="E134" s="46">
        <v>14761</v>
      </c>
      <c r="F134" s="67">
        <f>IFERROR(E134-C134,0)</f>
        <v>-1244</v>
      </c>
      <c r="G134" s="45">
        <v>13676</v>
      </c>
      <c r="H134" s="67">
        <f>IFERROR(E134-G134,0)</f>
        <v>1085</v>
      </c>
      <c r="I134" s="21"/>
      <c r="J134" s="22"/>
      <c r="K134" s="52">
        <v>14761</v>
      </c>
      <c r="L134" s="67">
        <f>IFERROR(E134-K134,0)</f>
        <v>0</v>
      </c>
      <c r="M134" s="73"/>
      <c r="N134" s="74"/>
    </row>
    <row r="135" spans="1:14" s="27" customFormat="1" ht="15" customHeight="1" thickBot="1" x14ac:dyDescent="0.35">
      <c r="A135" s="5"/>
      <c r="B135" s="6" t="s">
        <v>12</v>
      </c>
      <c r="C135" s="15">
        <f>IFERROR(C134/C131,0)</f>
        <v>2.1411371237458194</v>
      </c>
      <c r="D135" s="15">
        <f>IFERROR(D134/D131,0)</f>
        <v>1.8465098824118089</v>
      </c>
      <c r="E135" s="15">
        <f>IFERROR(E134/E131,0)</f>
        <v>1.8465098824118089</v>
      </c>
      <c r="F135" s="69">
        <f>IFERROR(E135-C135,0)</f>
        <v>-0.29462724133401053</v>
      </c>
      <c r="G135" s="15">
        <f>IFERROR(G134/G131,0)</f>
        <v>2.2449113591595533</v>
      </c>
      <c r="H135" s="69">
        <f>IFERROR(E135-G135,0)</f>
        <v>-0.3984014767477444</v>
      </c>
      <c r="I135" s="21"/>
      <c r="J135" s="22"/>
      <c r="K135" s="55">
        <f>IFERROR(K134/K131,0)</f>
        <v>1.8465098824118089</v>
      </c>
      <c r="L135" s="69">
        <f>IFERROR(E135-K135,0)</f>
        <v>0</v>
      </c>
      <c r="M135" s="73"/>
      <c r="N135" s="74"/>
    </row>
    <row r="136" spans="1:14" s="27" customFormat="1" ht="5.0999999999999996" customHeight="1" thickBot="1" x14ac:dyDescent="0.35">
      <c r="A136" s="5"/>
      <c r="B136" s="6"/>
      <c r="C136" s="7"/>
      <c r="D136" s="13"/>
      <c r="E136" s="14"/>
      <c r="F136" s="69"/>
      <c r="G136" s="13"/>
      <c r="H136" s="69"/>
      <c r="I136" s="21"/>
      <c r="J136" s="22"/>
      <c r="K136" s="54"/>
      <c r="L136" s="69"/>
      <c r="M136" s="73"/>
      <c r="N136" s="74"/>
    </row>
    <row r="137" spans="1:14" s="27" customFormat="1" ht="15" customHeight="1" thickBot="1" x14ac:dyDescent="0.35">
      <c r="A137" s="5"/>
      <c r="B137" s="6" t="s">
        <v>13</v>
      </c>
      <c r="C137" s="15">
        <f>IFERROR(C126/C131,0)</f>
        <v>79.96816053511705</v>
      </c>
      <c r="D137" s="15">
        <f>IFERROR(D126/D131,0)</f>
        <v>59.01904678508879</v>
      </c>
      <c r="E137" s="15">
        <f>IFERROR(E126/E131,0)</f>
        <v>59.01904678508879</v>
      </c>
      <c r="F137" s="69">
        <f>IFERROR(E137-C137,0)</f>
        <v>-20.94911375002826</v>
      </c>
      <c r="G137" s="15">
        <f>IFERROR(G126/G131,0)</f>
        <v>53.973374917925149</v>
      </c>
      <c r="H137" s="69">
        <f>IFERROR(E137-G137,0)</f>
        <v>5.0456718671636409</v>
      </c>
      <c r="I137" s="21">
        <f>IFERROR(E137/C137-1,0)</f>
        <v>-0.26196818346007489</v>
      </c>
      <c r="J137" s="22">
        <f>IFERROR(E137/G137-1,0)</f>
        <v>9.3484461085421522E-2</v>
      </c>
      <c r="K137" s="55">
        <f>IFERROR(K126/K131,0)</f>
        <v>59.01904678508879</v>
      </c>
      <c r="L137" s="69">
        <f>IFERROR(E137-K137,0)</f>
        <v>0</v>
      </c>
      <c r="M137" s="73"/>
      <c r="N137" s="74"/>
    </row>
    <row r="138" spans="1:14" s="38" customFormat="1" ht="15" customHeight="1" thickBot="1" x14ac:dyDescent="0.35">
      <c r="A138" s="9"/>
      <c r="B138" s="10" t="s">
        <v>14</v>
      </c>
      <c r="C138" s="16">
        <f>IFERROR(C126/C130,0)</f>
        <v>66.953629032258064</v>
      </c>
      <c r="D138" s="16">
        <f>IFERROR(D126/D130,0)</f>
        <v>52.844787186379904</v>
      </c>
      <c r="E138" s="16">
        <f>IFERROR(E126/E130,0)</f>
        <v>52.844787186379904</v>
      </c>
      <c r="F138" s="70">
        <f t="shared" ref="F138:F139" si="52">IFERROR(E138-C138,0)</f>
        <v>-14.10884184587816</v>
      </c>
      <c r="G138" s="16">
        <f>IFERROR(G126/G130,0)</f>
        <v>36.828606630824375</v>
      </c>
      <c r="H138" s="70">
        <f t="shared" ref="H138:H139" si="53">IFERROR(E138-G138,0)</f>
        <v>16.016180555555529</v>
      </c>
      <c r="I138" s="20">
        <f>IFERROR(E138/C138-1,0)</f>
        <v>-0.21072557305415907</v>
      </c>
      <c r="J138" s="11">
        <f>IFERROR(E138/G138-1,0)</f>
        <v>0.4348842386600229</v>
      </c>
      <c r="K138" s="56">
        <f>IFERROR(K126/K130,0)</f>
        <v>52.844787186379904</v>
      </c>
      <c r="L138" s="70">
        <f>IFERROR(E138-K138,0)</f>
        <v>0</v>
      </c>
      <c r="M138" s="73"/>
      <c r="N138" s="74"/>
    </row>
    <row r="139" spans="1:14" ht="15" customHeight="1" thickBot="1" x14ac:dyDescent="0.35">
      <c r="A139" s="17"/>
      <c r="B139" s="18" t="s">
        <v>34</v>
      </c>
      <c r="C139" s="19">
        <f>IFERROR(C125/C131,0)</f>
        <v>97.746848924001114</v>
      </c>
      <c r="D139" s="19">
        <f>IFERROR(D125/D131,0)</f>
        <v>76.547784588441303</v>
      </c>
      <c r="E139" s="19">
        <f>IFERROR(E125/E131,0)</f>
        <v>76.547784588441303</v>
      </c>
      <c r="F139" s="72">
        <f t="shared" si="52"/>
        <v>-21.199064335559811</v>
      </c>
      <c r="G139" s="19">
        <f>IFERROR(G125/G131,0)</f>
        <v>72.174965528562041</v>
      </c>
      <c r="H139" s="72">
        <f t="shared" si="53"/>
        <v>4.3728190598792622</v>
      </c>
      <c r="I139" s="25">
        <f>IFERROR(E139/C139-1,0)</f>
        <v>-0.21687721465110588</v>
      </c>
      <c r="J139" s="26">
        <f>IFERROR(E139/G139-1,0)</f>
        <v>6.0586368526200252E-2</v>
      </c>
      <c r="K139" s="57">
        <f>IFERROR(K125/K131,0)</f>
        <v>76.547784588441303</v>
      </c>
      <c r="L139" s="72">
        <f>IFERROR(E139-K139,0)</f>
        <v>0</v>
      </c>
      <c r="M139" s="73"/>
      <c r="N139" s="74"/>
    </row>
    <row r="140" spans="1:14" s="27" customFormat="1" ht="15" customHeight="1" thickBot="1" x14ac:dyDescent="0.35">
      <c r="A140" s="1"/>
      <c r="B140" s="2" t="s">
        <v>17</v>
      </c>
      <c r="C140" s="3">
        <f>SUM(C141:C143)</f>
        <v>997819.28433109238</v>
      </c>
      <c r="D140" s="3">
        <f>SUM(D141:D143)</f>
        <v>656811.2999999997</v>
      </c>
      <c r="E140" s="4">
        <f>SUM(E141:E143)</f>
        <v>656811.2999999997</v>
      </c>
      <c r="F140" s="71">
        <f>IFERROR(SUM(F141:F143),0)</f>
        <v>-341007.98433109268</v>
      </c>
      <c r="G140" s="3">
        <f>SUM(G141:G143)</f>
        <v>309125.14</v>
      </c>
      <c r="H140" s="71">
        <f>IFERROR(E140-G140,0)</f>
        <v>347686.15999999968</v>
      </c>
      <c r="I140" s="20">
        <f>IFERROR(E140/C140-1,0)</f>
        <v>-0.34175325100044951</v>
      </c>
      <c r="J140" s="11">
        <f>IFERROR(E140/G140-1,0)</f>
        <v>1.1247424263196439</v>
      </c>
      <c r="K140" s="51">
        <f>SUM(K141:K143)</f>
        <v>656811.2999999997</v>
      </c>
      <c r="L140" s="71">
        <f>IFERROR(SUM(L141:L143),0)</f>
        <v>2.1827872842550278E-11</v>
      </c>
      <c r="M140" s="73" t="s">
        <v>167</v>
      </c>
      <c r="N140" s="74"/>
    </row>
    <row r="141" spans="1:14" s="27" customFormat="1" ht="15" customHeight="1" thickBot="1" x14ac:dyDescent="0.35">
      <c r="A141" s="5"/>
      <c r="B141" s="6" t="s">
        <v>5</v>
      </c>
      <c r="C141" s="45">
        <v>875941</v>
      </c>
      <c r="D141" s="45">
        <v>527291.50999999978</v>
      </c>
      <c r="E141" s="45">
        <v>527291.50999999978</v>
      </c>
      <c r="F141" s="67">
        <f>IFERROR(E141-C141,0)</f>
        <v>-348649.49000000022</v>
      </c>
      <c r="G141" s="45">
        <v>236602.61</v>
      </c>
      <c r="H141" s="67">
        <f t="shared" ref="H141:H143" si="54">IFERROR(E141-G141,0)</f>
        <v>290688.89999999979</v>
      </c>
      <c r="I141" s="21">
        <f t="shared" ref="I141:I143" si="55">IFERROR(E141/C141-1,0)</f>
        <v>-0.39802850876942653</v>
      </c>
      <c r="J141" s="22">
        <f t="shared" ref="J141:J143" si="56">IFERROR(E141/G141-1,0)</f>
        <v>1.228595491824878</v>
      </c>
      <c r="K141" s="52">
        <v>527291.50999999978</v>
      </c>
      <c r="L141" s="67">
        <f>IFERROR(E141-K141,0)</f>
        <v>0</v>
      </c>
      <c r="M141" s="73"/>
      <c r="N141" s="74"/>
    </row>
    <row r="142" spans="1:14" s="27" customFormat="1" ht="15" customHeight="1" thickBot="1" x14ac:dyDescent="0.35">
      <c r="A142" s="5"/>
      <c r="B142" s="6" t="s">
        <v>6</v>
      </c>
      <c r="C142" s="45">
        <v>103215.9516</v>
      </c>
      <c r="D142" s="45">
        <v>109691.5599999999</v>
      </c>
      <c r="E142" s="45">
        <v>109691.5599999999</v>
      </c>
      <c r="F142" s="67">
        <f t="shared" ref="F142:F143" si="57">IFERROR(E142-C142,0)</f>
        <v>6475.6083999998955</v>
      </c>
      <c r="G142" s="45">
        <v>55310.45</v>
      </c>
      <c r="H142" s="67">
        <f t="shared" si="54"/>
        <v>54381.109999999899</v>
      </c>
      <c r="I142" s="21">
        <f t="shared" si="55"/>
        <v>6.2738445943852472E-2</v>
      </c>
      <c r="J142" s="22">
        <f t="shared" si="56"/>
        <v>0.98319775015390221</v>
      </c>
      <c r="K142" s="52">
        <v>109691.5599999999</v>
      </c>
      <c r="L142" s="67">
        <f>IFERROR(E142-K142,0)</f>
        <v>0</v>
      </c>
      <c r="M142" s="73"/>
      <c r="N142" s="74"/>
    </row>
    <row r="143" spans="1:14" s="27" customFormat="1" ht="15" customHeight="1" thickBot="1" x14ac:dyDescent="0.35">
      <c r="A143" s="5"/>
      <c r="B143" s="6" t="s">
        <v>7</v>
      </c>
      <c r="C143" s="45">
        <v>18662.3327310924</v>
      </c>
      <c r="D143" s="45">
        <v>19828.23000000001</v>
      </c>
      <c r="E143" s="45">
        <v>19828.23000000001</v>
      </c>
      <c r="F143" s="67">
        <f t="shared" si="57"/>
        <v>1165.8972689076109</v>
      </c>
      <c r="G143" s="45">
        <v>17212.080000000009</v>
      </c>
      <c r="H143" s="67">
        <f t="shared" si="54"/>
        <v>2616.1500000000015</v>
      </c>
      <c r="I143" s="21">
        <f t="shared" si="55"/>
        <v>6.2473287005818223E-2</v>
      </c>
      <c r="J143" s="22">
        <f t="shared" si="56"/>
        <v>0.15199499421336649</v>
      </c>
      <c r="K143" s="52">
        <v>19828.229999999989</v>
      </c>
      <c r="L143" s="67">
        <f>IFERROR(E143-K143,0)</f>
        <v>2.1827872842550278E-11</v>
      </c>
      <c r="M143" s="73"/>
      <c r="N143" s="74"/>
    </row>
    <row r="144" spans="1:14" s="27" customFormat="1" ht="5.0999999999999996" customHeight="1" thickBot="1" x14ac:dyDescent="0.35">
      <c r="A144" s="5"/>
      <c r="B144" s="6"/>
      <c r="C144" s="7"/>
      <c r="D144" s="7"/>
      <c r="E144" s="8"/>
      <c r="F144" s="67"/>
      <c r="G144" s="7"/>
      <c r="H144" s="67"/>
      <c r="I144" s="21"/>
      <c r="J144" s="21"/>
      <c r="K144" s="53"/>
      <c r="L144" s="67"/>
      <c r="M144" s="73"/>
      <c r="N144" s="74"/>
    </row>
    <row r="145" spans="1:14" s="27" customFormat="1" ht="15" customHeight="1" thickBot="1" x14ac:dyDescent="0.35">
      <c r="A145" s="5"/>
      <c r="B145" s="6" t="s">
        <v>8</v>
      </c>
      <c r="C145" s="45">
        <v>8640</v>
      </c>
      <c r="D145" s="45">
        <v>8640</v>
      </c>
      <c r="E145" s="46">
        <v>8640</v>
      </c>
      <c r="F145" s="67">
        <f>IFERROR(E145-C145,0)</f>
        <v>0</v>
      </c>
      <c r="G145" s="45">
        <v>8640</v>
      </c>
      <c r="H145" s="67">
        <f>IFERROR(E145-G145,0)</f>
        <v>0</v>
      </c>
      <c r="I145" s="23"/>
      <c r="J145" s="24"/>
      <c r="K145" s="52">
        <v>8640</v>
      </c>
      <c r="L145" s="67">
        <f>IFERROR(E145-K145,0)</f>
        <v>0</v>
      </c>
      <c r="M145" s="73"/>
      <c r="N145" s="74"/>
    </row>
    <row r="146" spans="1:14" s="27" customFormat="1" ht="15" customHeight="1" thickBot="1" x14ac:dyDescent="0.35">
      <c r="A146" s="5"/>
      <c r="B146" s="6" t="s">
        <v>9</v>
      </c>
      <c r="C146" s="45">
        <v>7850</v>
      </c>
      <c r="D146" s="45">
        <v>7595</v>
      </c>
      <c r="E146" s="46">
        <v>7595</v>
      </c>
      <c r="F146" s="67">
        <f>IFERROR(E146-C146,0)</f>
        <v>-255</v>
      </c>
      <c r="G146" s="45">
        <v>4298</v>
      </c>
      <c r="H146" s="67">
        <f>IFERROR(E146-G146,0)</f>
        <v>3297</v>
      </c>
      <c r="I146" s="23"/>
      <c r="J146" s="24"/>
      <c r="K146" s="52">
        <v>7595</v>
      </c>
      <c r="L146" s="67">
        <f>IFERROR(E146-K146,0)</f>
        <v>0</v>
      </c>
      <c r="M146" s="73"/>
      <c r="N146" s="74"/>
    </row>
    <row r="147" spans="1:14" s="38" customFormat="1" ht="15" customHeight="1" thickBot="1" x14ac:dyDescent="0.35">
      <c r="A147" s="9"/>
      <c r="B147" s="10" t="s">
        <v>10</v>
      </c>
      <c r="C147" s="11">
        <f>IFERROR(C146/C145,0)</f>
        <v>0.90856481481481477</v>
      </c>
      <c r="D147" s="11">
        <f>IFERROR(D146/D145,0)</f>
        <v>0.87905092592592593</v>
      </c>
      <c r="E147" s="11">
        <f>IFERROR(E146/E145,0)</f>
        <v>0.87905092592592593</v>
      </c>
      <c r="F147" s="68">
        <f>IFERROR(E147-C147,0)</f>
        <v>-2.951388888888884E-2</v>
      </c>
      <c r="G147" s="11">
        <f>IFERROR(G146/G145,0)</f>
        <v>0.49745370370370373</v>
      </c>
      <c r="H147" s="68">
        <f>IFERROR(E147-G147,0)</f>
        <v>0.3815972222222222</v>
      </c>
      <c r="I147" s="20">
        <f>IFERROR(E147/C147-1,0)</f>
        <v>-3.2484076433121012E-2</v>
      </c>
      <c r="J147" s="11">
        <f>IFERROR(E147/G147-1,0)</f>
        <v>0.76710097719869696</v>
      </c>
      <c r="K147" s="12">
        <f>IFERROR(K146/K145,0)</f>
        <v>0.87905092592592593</v>
      </c>
      <c r="L147" s="68">
        <f>IFERROR(E147-K147,0)</f>
        <v>0</v>
      </c>
      <c r="M147" s="73"/>
      <c r="N147" s="74"/>
    </row>
    <row r="148" spans="1:14" s="27" customFormat="1" ht="5.0999999999999996" customHeight="1" thickBot="1" x14ac:dyDescent="0.35">
      <c r="A148" s="5"/>
      <c r="B148" s="6"/>
      <c r="C148" s="7"/>
      <c r="D148" s="13"/>
      <c r="E148" s="14"/>
      <c r="F148" s="67"/>
      <c r="G148" s="13"/>
      <c r="H148" s="67"/>
      <c r="I148" s="21"/>
      <c r="J148" s="22"/>
      <c r="K148" s="54"/>
      <c r="L148" s="67"/>
      <c r="M148" s="73"/>
      <c r="N148" s="74"/>
    </row>
    <row r="149" spans="1:14" s="27" customFormat="1" ht="15" customHeight="1" thickBot="1" x14ac:dyDescent="0.35">
      <c r="A149" s="5"/>
      <c r="B149" s="6" t="s">
        <v>11</v>
      </c>
      <c r="C149" s="45">
        <v>14730</v>
      </c>
      <c r="D149" s="45">
        <v>14157</v>
      </c>
      <c r="E149" s="46">
        <v>14157</v>
      </c>
      <c r="F149" s="67">
        <f>IFERROR(E149-C149,0)</f>
        <v>-573</v>
      </c>
      <c r="G149" s="45">
        <v>8264</v>
      </c>
      <c r="H149" s="67">
        <f>IFERROR(E149-G149,0)</f>
        <v>5893</v>
      </c>
      <c r="I149" s="21"/>
      <c r="J149" s="22"/>
      <c r="K149" s="52">
        <v>14157</v>
      </c>
      <c r="L149" s="67">
        <f>IFERROR(E149-K149,0)</f>
        <v>0</v>
      </c>
      <c r="M149" s="73"/>
      <c r="N149" s="74"/>
    </row>
    <row r="150" spans="1:14" s="27" customFormat="1" ht="15" customHeight="1" thickBot="1" x14ac:dyDescent="0.35">
      <c r="A150" s="5"/>
      <c r="B150" s="6" t="s">
        <v>12</v>
      </c>
      <c r="C150" s="15">
        <f>IFERROR(C149/C146,0)</f>
        <v>1.8764331210191083</v>
      </c>
      <c r="D150" s="15">
        <f>IFERROR(D149/D146,0)</f>
        <v>1.8639894667544437</v>
      </c>
      <c r="E150" s="15">
        <f>IFERROR(E149/E146,0)</f>
        <v>1.8639894667544437</v>
      </c>
      <c r="F150" s="69">
        <f>IFERROR(E150-C150,0)</f>
        <v>-1.244365426466465E-2</v>
      </c>
      <c r="G150" s="15">
        <f>IFERROR(G149/G146,0)</f>
        <v>1.9227547696603071</v>
      </c>
      <c r="H150" s="69">
        <f>IFERROR(E150-G150,0)</f>
        <v>-5.8765302905863459E-2</v>
      </c>
      <c r="I150" s="21"/>
      <c r="J150" s="22"/>
      <c r="K150" s="55">
        <f>IFERROR(K149/K146,0)</f>
        <v>1.8639894667544437</v>
      </c>
      <c r="L150" s="69">
        <f>IFERROR(E150-K150,0)</f>
        <v>0</v>
      </c>
      <c r="M150" s="73"/>
      <c r="N150" s="74"/>
    </row>
    <row r="151" spans="1:14" s="27" customFormat="1" ht="5.0999999999999996" customHeight="1" thickBot="1" x14ac:dyDescent="0.35">
      <c r="A151" s="5"/>
      <c r="B151" s="6"/>
      <c r="C151" s="7"/>
      <c r="D151" s="13"/>
      <c r="E151" s="14"/>
      <c r="F151" s="69"/>
      <c r="G151" s="13"/>
      <c r="H151" s="69"/>
      <c r="I151" s="21"/>
      <c r="J151" s="22"/>
      <c r="K151" s="54"/>
      <c r="L151" s="69"/>
      <c r="M151" s="73"/>
      <c r="N151" s="74"/>
    </row>
    <row r="152" spans="1:14" s="27" customFormat="1" ht="15" customHeight="1" thickBot="1" x14ac:dyDescent="0.35">
      <c r="A152" s="5"/>
      <c r="B152" s="6" t="s">
        <v>13</v>
      </c>
      <c r="C152" s="15">
        <f>IFERROR(C141/C146,0)</f>
        <v>111.5848407643312</v>
      </c>
      <c r="D152" s="15">
        <f>IFERROR(D141/D146,0)</f>
        <v>69.426136932192207</v>
      </c>
      <c r="E152" s="15">
        <f>IFERROR(E141/E146,0)</f>
        <v>69.426136932192207</v>
      </c>
      <c r="F152" s="69">
        <f>IFERROR(E152-C152,0)</f>
        <v>-42.158703832138997</v>
      </c>
      <c r="G152" s="15">
        <f>IFERROR(G141/G146,0)</f>
        <v>55.049467194043736</v>
      </c>
      <c r="H152" s="69">
        <f>IFERROR(E152-G152,0)</f>
        <v>14.376669738148472</v>
      </c>
      <c r="I152" s="21">
        <f>IFERROR(E152/C152-1,0)</f>
        <v>-0.37781748437656315</v>
      </c>
      <c r="J152" s="22">
        <f>IFERROR(E152/G152-1,0)</f>
        <v>0.26115910781610618</v>
      </c>
      <c r="K152" s="55">
        <f>IFERROR(K141/K146,0)</f>
        <v>69.426136932192207</v>
      </c>
      <c r="L152" s="69">
        <f>IFERROR(E152-K152,0)</f>
        <v>0</v>
      </c>
      <c r="M152" s="73"/>
      <c r="N152" s="74"/>
    </row>
    <row r="153" spans="1:14" s="38" customFormat="1" ht="15" customHeight="1" thickBot="1" x14ac:dyDescent="0.35">
      <c r="A153" s="9"/>
      <c r="B153" s="10" t="s">
        <v>14</v>
      </c>
      <c r="C153" s="16">
        <f>IFERROR(C141/C145,0)</f>
        <v>101.38206018518518</v>
      </c>
      <c r="D153" s="16">
        <f>IFERROR(D141/D145,0)</f>
        <v>61.029109953703674</v>
      </c>
      <c r="E153" s="16">
        <f>IFERROR(E141/E145,0)</f>
        <v>61.029109953703674</v>
      </c>
      <c r="F153" s="70">
        <f t="shared" ref="F153:F154" si="58">IFERROR(E153-C153,0)</f>
        <v>-40.352950231481508</v>
      </c>
      <c r="G153" s="16">
        <f>IFERROR(G141/G145,0)</f>
        <v>27.38456134259259</v>
      </c>
      <c r="H153" s="70">
        <f t="shared" ref="H153:H154" si="59">IFERROR(E153-G153,0)</f>
        <v>33.644548611111084</v>
      </c>
      <c r="I153" s="20">
        <f>IFERROR(E153/C153-1,0)</f>
        <v>-0.39802850876942653</v>
      </c>
      <c r="J153" s="11">
        <f>IFERROR(E153/G153-1,0)</f>
        <v>1.228595491824878</v>
      </c>
      <c r="K153" s="56">
        <f>IFERROR(K141/K145,0)</f>
        <v>61.029109953703674</v>
      </c>
      <c r="L153" s="70">
        <f>IFERROR(E153-K153,0)</f>
        <v>0</v>
      </c>
      <c r="M153" s="73"/>
      <c r="N153" s="74"/>
    </row>
    <row r="154" spans="1:14" ht="15" customHeight="1" thickBot="1" x14ac:dyDescent="0.35">
      <c r="A154" s="17"/>
      <c r="B154" s="18" t="s">
        <v>34</v>
      </c>
      <c r="C154" s="19">
        <f>IFERROR(C140/C146,0)</f>
        <v>127.11073685746399</v>
      </c>
      <c r="D154" s="19">
        <f>IFERROR(D140/D146,0)</f>
        <v>86.479433838051307</v>
      </c>
      <c r="E154" s="19">
        <f>IFERROR(E140/E146,0)</f>
        <v>86.479433838051307</v>
      </c>
      <c r="F154" s="72">
        <f t="shared" si="58"/>
        <v>-40.631303019412684</v>
      </c>
      <c r="G154" s="19">
        <f>IFERROR(G140/G146,0)</f>
        <v>71.923020009306654</v>
      </c>
      <c r="H154" s="72">
        <f t="shared" si="59"/>
        <v>14.556413828744653</v>
      </c>
      <c r="I154" s="25">
        <f>IFERROR(E154/C154-1,0)</f>
        <v>-0.31965280057320977</v>
      </c>
      <c r="J154" s="26">
        <f>IFERROR(E154/G154-1,0)</f>
        <v>0.20238880162236073</v>
      </c>
      <c r="K154" s="57">
        <f>IFERROR(K140/K146,0)</f>
        <v>86.479433838051307</v>
      </c>
      <c r="L154" s="72">
        <f>IFERROR(E154-K154,0)</f>
        <v>0</v>
      </c>
      <c r="M154" s="73"/>
      <c r="N154" s="74"/>
    </row>
    <row r="155" spans="1:14" s="27" customFormat="1" ht="15" customHeight="1" thickBot="1" x14ac:dyDescent="0.35">
      <c r="A155" s="1"/>
      <c r="B155" s="2" t="s">
        <v>18</v>
      </c>
      <c r="C155" s="3">
        <f>SUM(C156:C158)</f>
        <v>827952.45868065872</v>
      </c>
      <c r="D155" s="3">
        <f>SUM(D156:D158)</f>
        <v>695413.24999999977</v>
      </c>
      <c r="E155" s="4">
        <f>SUM(E156:E158)</f>
        <v>695413.24999999977</v>
      </c>
      <c r="F155" s="71">
        <f>IFERROR(SUM(F156:F158),0)</f>
        <v>-132539.20868065904</v>
      </c>
      <c r="G155" s="3">
        <f>SUM(G156:G158)</f>
        <v>86539.47</v>
      </c>
      <c r="H155" s="71">
        <f>IFERROR(E155-G155,0)</f>
        <v>608873.7799999998</v>
      </c>
      <c r="I155" s="20">
        <f>IFERROR(E155/C155-1,0)</f>
        <v>-0.16008069943032721</v>
      </c>
      <c r="J155" s="11">
        <f>IFERROR(E155/G155-1,0)</f>
        <v>7.035792800672338</v>
      </c>
      <c r="K155" s="51">
        <f>SUM(K156:K158)</f>
        <v>695413.24999999965</v>
      </c>
      <c r="L155" s="71">
        <f>IFERROR(SUM(L156:L158),0)</f>
        <v>1.1641532182693481E-10</v>
      </c>
      <c r="M155" s="73" t="s">
        <v>171</v>
      </c>
      <c r="N155" s="74"/>
    </row>
    <row r="156" spans="1:14" s="27" customFormat="1" ht="15" customHeight="1" thickBot="1" x14ac:dyDescent="0.35">
      <c r="A156" s="5"/>
      <c r="B156" s="6" t="s">
        <v>5</v>
      </c>
      <c r="C156" s="45">
        <v>696114</v>
      </c>
      <c r="D156" s="45">
        <v>555682.61999999965</v>
      </c>
      <c r="E156" s="45">
        <v>555682.61999999965</v>
      </c>
      <c r="F156" s="67">
        <f>IFERROR(E156-C156,0)</f>
        <v>-140431.38000000035</v>
      </c>
      <c r="G156" s="45">
        <v>62972.9</v>
      </c>
      <c r="H156" s="67">
        <f t="shared" ref="H156:H158" si="60">IFERROR(E156-G156,0)</f>
        <v>492709.71999999962</v>
      </c>
      <c r="I156" s="21">
        <f t="shared" ref="I156:I158" si="61">IFERROR(E156/C156-1,0)</f>
        <v>-0.20173618114274439</v>
      </c>
      <c r="J156" s="22">
        <f t="shared" ref="J156:J158" si="62">IFERROR(E156/G156-1,0)</f>
        <v>7.8241548348575289</v>
      </c>
      <c r="K156" s="52">
        <v>555682.61999999965</v>
      </c>
      <c r="L156" s="67">
        <f>IFERROR(E156-K156,0)</f>
        <v>0</v>
      </c>
      <c r="M156" s="73"/>
      <c r="N156" s="74"/>
    </row>
    <row r="157" spans="1:14" s="27" customFormat="1" ht="15" customHeight="1" thickBot="1" x14ac:dyDescent="0.35">
      <c r="A157" s="5"/>
      <c r="B157" s="6" t="s">
        <v>6</v>
      </c>
      <c r="C157" s="45">
        <v>112281.48103359999</v>
      </c>
      <c r="D157" s="45">
        <v>119663.12000000011</v>
      </c>
      <c r="E157" s="45">
        <v>119663.12000000011</v>
      </c>
      <c r="F157" s="67">
        <f t="shared" ref="F157:F158" si="63">IFERROR(E157-C157,0)</f>
        <v>7381.6389664001181</v>
      </c>
      <c r="G157" s="45">
        <v>20838.07</v>
      </c>
      <c r="H157" s="67">
        <f t="shared" si="60"/>
        <v>98825.050000000105</v>
      </c>
      <c r="I157" s="21">
        <f t="shared" si="61"/>
        <v>6.5742265763231167E-2</v>
      </c>
      <c r="J157" s="22">
        <f t="shared" si="62"/>
        <v>4.7425241397116009</v>
      </c>
      <c r="K157" s="52">
        <v>119663.1200000001</v>
      </c>
      <c r="L157" s="67">
        <f>IFERROR(E157-K157,0)</f>
        <v>1.4551915228366852E-11</v>
      </c>
      <c r="M157" s="73"/>
      <c r="N157" s="74"/>
    </row>
    <row r="158" spans="1:14" s="27" customFormat="1" ht="15" customHeight="1" thickBot="1" x14ac:dyDescent="0.35">
      <c r="A158" s="5"/>
      <c r="B158" s="6" t="s">
        <v>7</v>
      </c>
      <c r="C158" s="45">
        <v>19556.977647058797</v>
      </c>
      <c r="D158" s="45">
        <v>20067.509999999991</v>
      </c>
      <c r="E158" s="45">
        <v>20067.509999999991</v>
      </c>
      <c r="F158" s="67">
        <f t="shared" si="63"/>
        <v>510.5323529411944</v>
      </c>
      <c r="G158" s="45">
        <v>2728.5</v>
      </c>
      <c r="H158" s="67">
        <f t="shared" si="60"/>
        <v>17339.009999999991</v>
      </c>
      <c r="I158" s="21">
        <f t="shared" si="61"/>
        <v>2.6104869686649934E-2</v>
      </c>
      <c r="J158" s="22">
        <f t="shared" si="62"/>
        <v>6.3547773501924105</v>
      </c>
      <c r="K158" s="52">
        <v>20067.509999999889</v>
      </c>
      <c r="L158" s="67">
        <f>IFERROR(E158-K158,0)</f>
        <v>1.0186340659856796E-10</v>
      </c>
      <c r="M158" s="73"/>
      <c r="N158" s="74"/>
    </row>
    <row r="159" spans="1:14" s="27" customFormat="1" ht="5.0999999999999996" customHeight="1" thickBot="1" x14ac:dyDescent="0.35">
      <c r="A159" s="5"/>
      <c r="B159" s="6"/>
      <c r="C159" s="7"/>
      <c r="D159" s="7"/>
      <c r="E159" s="8"/>
      <c r="F159" s="67"/>
      <c r="G159" s="7"/>
      <c r="H159" s="67"/>
      <c r="I159" s="21"/>
      <c r="J159" s="21"/>
      <c r="K159" s="53"/>
      <c r="L159" s="67"/>
      <c r="M159" s="73"/>
      <c r="N159" s="74"/>
    </row>
    <row r="160" spans="1:14" s="27" customFormat="1" ht="15" customHeight="1" thickBot="1" x14ac:dyDescent="0.35">
      <c r="A160" s="5"/>
      <c r="B160" s="6" t="s">
        <v>8</v>
      </c>
      <c r="C160" s="45">
        <v>8928</v>
      </c>
      <c r="D160" s="45">
        <v>8928</v>
      </c>
      <c r="E160" s="46">
        <v>8928</v>
      </c>
      <c r="F160" s="67">
        <f>IFERROR(E160-C160,0)</f>
        <v>0</v>
      </c>
      <c r="G160" s="45">
        <v>8928</v>
      </c>
      <c r="H160" s="67">
        <f>IFERROR(E160-G160,0)</f>
        <v>0</v>
      </c>
      <c r="I160" s="23"/>
      <c r="J160" s="24"/>
      <c r="K160" s="52">
        <v>8928</v>
      </c>
      <c r="L160" s="67">
        <f>IFERROR(E160-K160,0)</f>
        <v>0</v>
      </c>
      <c r="M160" s="73"/>
      <c r="N160" s="74"/>
    </row>
    <row r="161" spans="1:14" s="27" customFormat="1" ht="15" customHeight="1" thickBot="1" x14ac:dyDescent="0.35">
      <c r="A161" s="5"/>
      <c r="B161" s="6" t="s">
        <v>9</v>
      </c>
      <c r="C161" s="45">
        <v>7700</v>
      </c>
      <c r="D161" s="45">
        <v>8099</v>
      </c>
      <c r="E161" s="46">
        <v>8099</v>
      </c>
      <c r="F161" s="67">
        <f>IFERROR(E161-C161,0)</f>
        <v>399</v>
      </c>
      <c r="G161" s="45">
        <v>1143</v>
      </c>
      <c r="H161" s="67">
        <f>IFERROR(E161-G161,0)</f>
        <v>6956</v>
      </c>
      <c r="I161" s="23"/>
      <c r="J161" s="24"/>
      <c r="K161" s="52">
        <v>8099</v>
      </c>
      <c r="L161" s="67">
        <f>IFERROR(E161-K161,0)</f>
        <v>0</v>
      </c>
      <c r="M161" s="73"/>
      <c r="N161" s="74"/>
    </row>
    <row r="162" spans="1:14" s="38" customFormat="1" ht="15" customHeight="1" thickBot="1" x14ac:dyDescent="0.35">
      <c r="A162" s="9"/>
      <c r="B162" s="10" t="s">
        <v>10</v>
      </c>
      <c r="C162" s="11">
        <f>IFERROR(C161/C160,0)</f>
        <v>0.86245519713261654</v>
      </c>
      <c r="D162" s="11">
        <f>IFERROR(D161/D160,0)</f>
        <v>0.90714605734767029</v>
      </c>
      <c r="E162" s="11">
        <f>IFERROR(E161/E160,0)</f>
        <v>0.90714605734767029</v>
      </c>
      <c r="F162" s="68">
        <f>IFERROR(E162-C162,0)</f>
        <v>4.4690860215053752E-2</v>
      </c>
      <c r="G162" s="11">
        <f>IFERROR(G161/G160,0)</f>
        <v>0.12802419354838709</v>
      </c>
      <c r="H162" s="68">
        <f>IFERROR(E162-G162,0)</f>
        <v>0.77912186379928317</v>
      </c>
      <c r="I162" s="20">
        <f>IFERROR(E162/C162-1,0)</f>
        <v>5.1818181818181763E-2</v>
      </c>
      <c r="J162" s="11">
        <f>IFERROR(E162/G162-1,0)</f>
        <v>6.0857392825896763</v>
      </c>
      <c r="K162" s="12">
        <f>IFERROR(K161/K160,0)</f>
        <v>0.90714605734767029</v>
      </c>
      <c r="L162" s="68">
        <f>IFERROR(E162-K162,0)</f>
        <v>0</v>
      </c>
      <c r="M162" s="73"/>
      <c r="N162" s="74"/>
    </row>
    <row r="163" spans="1:14" s="27" customFormat="1" ht="5.0999999999999996" customHeight="1" thickBot="1" x14ac:dyDescent="0.35">
      <c r="A163" s="5"/>
      <c r="B163" s="6"/>
      <c r="C163" s="7"/>
      <c r="D163" s="13"/>
      <c r="E163" s="14"/>
      <c r="F163" s="67"/>
      <c r="G163" s="13"/>
      <c r="H163" s="67"/>
      <c r="I163" s="21"/>
      <c r="J163" s="22"/>
      <c r="K163" s="54"/>
      <c r="L163" s="67"/>
      <c r="M163" s="73"/>
      <c r="N163" s="74"/>
    </row>
    <row r="164" spans="1:14" s="27" customFormat="1" ht="15" customHeight="1" thickBot="1" x14ac:dyDescent="0.35">
      <c r="A164" s="5"/>
      <c r="B164" s="6" t="s">
        <v>11</v>
      </c>
      <c r="C164" s="45">
        <v>15410</v>
      </c>
      <c r="D164" s="45">
        <v>15228</v>
      </c>
      <c r="E164" s="46">
        <v>15228</v>
      </c>
      <c r="F164" s="67">
        <f>IFERROR(E164-C164,0)</f>
        <v>-182</v>
      </c>
      <c r="G164" s="45">
        <v>2442</v>
      </c>
      <c r="H164" s="67">
        <f>IFERROR(E164-G164,0)</f>
        <v>12786</v>
      </c>
      <c r="I164" s="21"/>
      <c r="J164" s="22"/>
      <c r="K164" s="52">
        <v>15228</v>
      </c>
      <c r="L164" s="67">
        <f>IFERROR(E164-K164,0)</f>
        <v>0</v>
      </c>
      <c r="M164" s="73"/>
      <c r="N164" s="74"/>
    </row>
    <row r="165" spans="1:14" s="27" customFormat="1" ht="15" customHeight="1" thickBot="1" x14ac:dyDescent="0.35">
      <c r="A165" s="5"/>
      <c r="B165" s="6" t="s">
        <v>12</v>
      </c>
      <c r="C165" s="15">
        <f>IFERROR(C164/C161,0)</f>
        <v>2.0012987012987011</v>
      </c>
      <c r="D165" s="15">
        <f>IFERROR(D164/D161,0)</f>
        <v>1.8802321274231386</v>
      </c>
      <c r="E165" s="15">
        <f>IFERROR(E164/E161,0)</f>
        <v>1.8802321274231386</v>
      </c>
      <c r="F165" s="69">
        <f>IFERROR(E165-C165,0)</f>
        <v>-0.12106657387556252</v>
      </c>
      <c r="G165" s="15">
        <f>IFERROR(G164/G161,0)</f>
        <v>2.136482939632546</v>
      </c>
      <c r="H165" s="69">
        <f>IFERROR(E165-G165,0)</f>
        <v>-0.25625081220940737</v>
      </c>
      <c r="I165" s="21"/>
      <c r="J165" s="22"/>
      <c r="K165" s="55">
        <f>IFERROR(K164/K161,0)</f>
        <v>1.8802321274231386</v>
      </c>
      <c r="L165" s="69">
        <f>IFERROR(E165-K165,0)</f>
        <v>0</v>
      </c>
      <c r="M165" s="73"/>
      <c r="N165" s="74"/>
    </row>
    <row r="166" spans="1:14" s="27" customFormat="1" ht="5.0999999999999996" customHeight="1" thickBot="1" x14ac:dyDescent="0.35">
      <c r="A166" s="5"/>
      <c r="B166" s="6"/>
      <c r="C166" s="7"/>
      <c r="D166" s="13"/>
      <c r="E166" s="14"/>
      <c r="F166" s="69"/>
      <c r="G166" s="13"/>
      <c r="H166" s="69"/>
      <c r="I166" s="21"/>
      <c r="J166" s="22"/>
      <c r="K166" s="54"/>
      <c r="L166" s="69"/>
      <c r="M166" s="73"/>
      <c r="N166" s="74"/>
    </row>
    <row r="167" spans="1:14" s="27" customFormat="1" ht="15" customHeight="1" thickBot="1" x14ac:dyDescent="0.35">
      <c r="A167" s="5"/>
      <c r="B167" s="6" t="s">
        <v>13</v>
      </c>
      <c r="C167" s="15">
        <f>IFERROR(C156/C161,0)</f>
        <v>90.404415584415588</v>
      </c>
      <c r="D167" s="15">
        <f>IFERROR(D156/D161,0)</f>
        <v>68.611263118903523</v>
      </c>
      <c r="E167" s="15">
        <f>IFERROR(E156/E161,0)</f>
        <v>68.611263118903523</v>
      </c>
      <c r="F167" s="69">
        <f>IFERROR(E167-C167,0)</f>
        <v>-21.793152465512065</v>
      </c>
      <c r="G167" s="15">
        <f>IFERROR(G156/G161,0)</f>
        <v>55.094400699912512</v>
      </c>
      <c r="H167" s="69">
        <f>IFERROR(E167-G167,0)</f>
        <v>13.51686241899101</v>
      </c>
      <c r="I167" s="21">
        <f>IFERROR(E167/C167-1,0)</f>
        <v>-0.24106292070615287</v>
      </c>
      <c r="J167" s="22">
        <f>IFERROR(E167/G167-1,0)</f>
        <v>0.24534003904706192</v>
      </c>
      <c r="K167" s="55">
        <f>IFERROR(K156/K161,0)</f>
        <v>68.611263118903523</v>
      </c>
      <c r="L167" s="69">
        <f>IFERROR(E167-K167,0)</f>
        <v>0</v>
      </c>
      <c r="M167" s="73"/>
      <c r="N167" s="74"/>
    </row>
    <row r="168" spans="1:14" s="38" customFormat="1" ht="15" customHeight="1" thickBot="1" x14ac:dyDescent="0.35">
      <c r="A168" s="9"/>
      <c r="B168" s="10" t="s">
        <v>14</v>
      </c>
      <c r="C168" s="16">
        <f>IFERROR(C156/C160,0)</f>
        <v>77.969758064516128</v>
      </c>
      <c r="D168" s="16">
        <f>IFERROR(D156/D160,0)</f>
        <v>62.240436827956948</v>
      </c>
      <c r="E168" s="16">
        <f>IFERROR(E156/E160,0)</f>
        <v>62.240436827956948</v>
      </c>
      <c r="F168" s="70">
        <f t="shared" ref="F168:F169" si="64">IFERROR(E168-C168,0)</f>
        <v>-15.72932123655918</v>
      </c>
      <c r="G168" s="16">
        <f>IFERROR(G156/G160,0)</f>
        <v>7.0534162186379934</v>
      </c>
      <c r="H168" s="70">
        <f t="shared" ref="H168:H169" si="65">IFERROR(E168-G168,0)</f>
        <v>55.187020609318957</v>
      </c>
      <c r="I168" s="20">
        <f>IFERROR(E168/C168-1,0)</f>
        <v>-0.20173618114274439</v>
      </c>
      <c r="J168" s="11">
        <f>IFERROR(E168/G168-1,0)</f>
        <v>7.8241548348575272</v>
      </c>
      <c r="K168" s="56">
        <f>IFERROR(K156/K160,0)</f>
        <v>62.240436827956948</v>
      </c>
      <c r="L168" s="70">
        <f>IFERROR(E168-K168,0)</f>
        <v>0</v>
      </c>
      <c r="M168" s="73"/>
      <c r="N168" s="74"/>
    </row>
    <row r="169" spans="1:14" ht="15" customHeight="1" thickBot="1" x14ac:dyDescent="0.35">
      <c r="A169" s="17"/>
      <c r="B169" s="18" t="s">
        <v>34</v>
      </c>
      <c r="C169" s="19">
        <f>IFERROR(C155/C161,0)</f>
        <v>107.52629333515048</v>
      </c>
      <c r="D169" s="19">
        <f>IFERROR(D155/D161,0)</f>
        <v>85.864088159031951</v>
      </c>
      <c r="E169" s="19">
        <f>IFERROR(E155/E161,0)</f>
        <v>85.864088159031951</v>
      </c>
      <c r="F169" s="72">
        <f t="shared" si="64"/>
        <v>-21.662205176118533</v>
      </c>
      <c r="G169" s="19">
        <f>IFERROR(G155/G161,0)</f>
        <v>75.712572178477686</v>
      </c>
      <c r="H169" s="72">
        <f t="shared" si="65"/>
        <v>10.151515980554265</v>
      </c>
      <c r="I169" s="25">
        <f>IFERROR(E169/C169-1,0)</f>
        <v>-0.20145961052148653</v>
      </c>
      <c r="J169" s="26">
        <f>IFERROR(E169/G169-1,0)</f>
        <v>0.1340796605961827</v>
      </c>
      <c r="K169" s="57">
        <f>IFERROR(K155/K161,0)</f>
        <v>85.864088159031937</v>
      </c>
      <c r="L169" s="72">
        <f>IFERROR(E169-K169,0)</f>
        <v>1.4210854715202004E-14</v>
      </c>
      <c r="M169" s="73"/>
      <c r="N169" s="74"/>
    </row>
    <row r="170" spans="1:14" s="27" customFormat="1" ht="15" customHeight="1" thickBot="1" x14ac:dyDescent="0.35">
      <c r="A170" s="1"/>
      <c r="B170" s="2" t="s">
        <v>19</v>
      </c>
      <c r="C170" s="3">
        <f>SUM(C171:C173)</f>
        <v>730592.0678283684</v>
      </c>
      <c r="D170" s="3">
        <f>SUM(D171:D173)</f>
        <v>472325.60093065421</v>
      </c>
      <c r="E170" s="4">
        <f>SUM(E171:E173)</f>
        <v>487847.24803738319</v>
      </c>
      <c r="F170" s="71">
        <f>IFERROR(SUM(F171:F173),0)</f>
        <v>-242744.81979098523</v>
      </c>
      <c r="G170" s="3">
        <f>SUM(G171:G173)</f>
        <v>-2286.8200000000002</v>
      </c>
      <c r="H170" s="71">
        <f>IFERROR(E170-G170,0)</f>
        <v>490134.0680373832</v>
      </c>
      <c r="I170" s="20">
        <f>IFERROR(E170/C170-1,0)</f>
        <v>-0.33225767220896119</v>
      </c>
      <c r="J170" s="11">
        <f>IFERROR(E170/G170-1,0)</f>
        <v>-214.32997264208953</v>
      </c>
      <c r="K170" s="51">
        <f>SUM(K171:K173)</f>
        <v>529723.30851816502</v>
      </c>
      <c r="L170" s="71">
        <f>IFERROR(SUM(L171:L173),0)</f>
        <v>-41876.060480781889</v>
      </c>
      <c r="M170" s="73"/>
      <c r="N170" s="74"/>
    </row>
    <row r="171" spans="1:14" s="27" customFormat="1" ht="15" customHeight="1" thickBot="1" x14ac:dyDescent="0.35">
      <c r="A171" s="5"/>
      <c r="B171" s="6" t="s">
        <v>5</v>
      </c>
      <c r="C171" s="45">
        <v>623168.97750000004</v>
      </c>
      <c r="D171" s="45">
        <v>397529.401672818</v>
      </c>
      <c r="E171" s="45">
        <v>399041.73703738319</v>
      </c>
      <c r="F171" s="67">
        <f>IFERROR(E171-C171,0)</f>
        <v>-224127.24046261684</v>
      </c>
      <c r="G171" s="45">
        <v>-2536</v>
      </c>
      <c r="H171" s="67">
        <f t="shared" ref="H171:H173" si="66">IFERROR(E171-G171,0)</f>
        <v>401577.73703738319</v>
      </c>
      <c r="I171" s="21">
        <f t="shared" ref="I171:I173" si="67">IFERROR(E171/C171-1,0)</f>
        <v>-0.35965724956617695</v>
      </c>
      <c r="J171" s="22">
        <f t="shared" ref="J171:J173" si="68">IFERROR(E171/G171-1,0)</f>
        <v>-158.35084268035615</v>
      </c>
      <c r="K171" s="52">
        <v>435879.83799999993</v>
      </c>
      <c r="L171" s="67">
        <f>IFERROR(E171-K171,0)</f>
        <v>-36838.100962616736</v>
      </c>
      <c r="M171" s="73"/>
      <c r="N171" s="74"/>
    </row>
    <row r="172" spans="1:14" s="27" customFormat="1" ht="15" customHeight="1" thickBot="1" x14ac:dyDescent="0.35">
      <c r="A172" s="5"/>
      <c r="B172" s="6" t="s">
        <v>6</v>
      </c>
      <c r="C172" s="45">
        <v>91908.972807359998</v>
      </c>
      <c r="D172" s="45">
        <v>64748.42597974003</v>
      </c>
      <c r="E172" s="45">
        <v>76989.510999999999</v>
      </c>
      <c r="F172" s="67">
        <f t="shared" ref="F172:F173" si="69">IFERROR(E172-C172,0)</f>
        <v>-14919.46180736</v>
      </c>
      <c r="G172" s="45">
        <v>-45.71</v>
      </c>
      <c r="H172" s="67">
        <f t="shared" si="66"/>
        <v>77035.221000000005</v>
      </c>
      <c r="I172" s="21">
        <f t="shared" si="67"/>
        <v>-0.16232867533653106</v>
      </c>
      <c r="J172" s="22">
        <f t="shared" si="68"/>
        <v>-1685.3034565740538</v>
      </c>
      <c r="K172" s="52">
        <v>78061.095518165152</v>
      </c>
      <c r="L172" s="67">
        <f>IFERROR(E172-K172,0)</f>
        <v>-1071.584518165153</v>
      </c>
      <c r="M172" s="73"/>
      <c r="N172" s="74"/>
    </row>
    <row r="173" spans="1:14" s="27" customFormat="1" ht="15" customHeight="1" thickBot="1" x14ac:dyDescent="0.35">
      <c r="A173" s="5"/>
      <c r="B173" s="6" t="s">
        <v>7</v>
      </c>
      <c r="C173" s="45">
        <v>15514.117521008398</v>
      </c>
      <c r="D173" s="45">
        <v>10047.773278096158</v>
      </c>
      <c r="E173" s="45">
        <v>11816</v>
      </c>
      <c r="F173" s="67">
        <f t="shared" si="69"/>
        <v>-3698.1175210083984</v>
      </c>
      <c r="G173" s="45">
        <v>294.89</v>
      </c>
      <c r="H173" s="67">
        <f t="shared" si="66"/>
        <v>11521.11</v>
      </c>
      <c r="I173" s="21">
        <f t="shared" si="67"/>
        <v>-0.23837111688760915</v>
      </c>
      <c r="J173" s="22">
        <f t="shared" si="68"/>
        <v>39.069178337685237</v>
      </c>
      <c r="K173" s="52">
        <v>15782.375</v>
      </c>
      <c r="L173" s="67">
        <f>IFERROR(E173-K173,0)</f>
        <v>-3966.375</v>
      </c>
      <c r="M173" s="73"/>
      <c r="N173" s="74"/>
    </row>
    <row r="174" spans="1:14" s="27" customFormat="1" ht="5.0999999999999996" customHeight="1" thickBot="1" x14ac:dyDescent="0.35">
      <c r="A174" s="5"/>
      <c r="B174" s="6"/>
      <c r="C174" s="7"/>
      <c r="D174" s="7"/>
      <c r="E174" s="8"/>
      <c r="F174" s="67"/>
      <c r="G174" s="7"/>
      <c r="H174" s="67"/>
      <c r="I174" s="21"/>
      <c r="J174" s="21"/>
      <c r="K174" s="53"/>
      <c r="L174" s="67"/>
      <c r="M174" s="73"/>
      <c r="N174" s="74"/>
    </row>
    <row r="175" spans="1:14" s="27" customFormat="1" ht="15" customHeight="1" thickBot="1" x14ac:dyDescent="0.35">
      <c r="A175" s="5"/>
      <c r="B175" s="6" t="s">
        <v>8</v>
      </c>
      <c r="C175" s="45">
        <v>8640</v>
      </c>
      <c r="D175" s="45">
        <v>8640</v>
      </c>
      <c r="E175" s="46">
        <v>8640</v>
      </c>
      <c r="F175" s="67">
        <f>IFERROR(E175-C175,0)</f>
        <v>0</v>
      </c>
      <c r="G175" s="45">
        <v>8640</v>
      </c>
      <c r="H175" s="67">
        <f>IFERROR(E175-G175,0)</f>
        <v>0</v>
      </c>
      <c r="I175" s="23"/>
      <c r="J175" s="24"/>
      <c r="K175" s="52">
        <v>8640</v>
      </c>
      <c r="L175" s="67">
        <f>IFERROR(E175-K175,0)</f>
        <v>0</v>
      </c>
      <c r="M175" s="73"/>
      <c r="N175" s="74"/>
    </row>
    <row r="176" spans="1:14" s="27" customFormat="1" ht="15" customHeight="1" thickBot="1" x14ac:dyDescent="0.35">
      <c r="A176" s="5"/>
      <c r="B176" s="6" t="s">
        <v>9</v>
      </c>
      <c r="C176" s="45">
        <v>7475</v>
      </c>
      <c r="D176" s="45">
        <v>5570</v>
      </c>
      <c r="E176" s="46">
        <v>5600</v>
      </c>
      <c r="F176" s="67">
        <f>IFERROR(E176-C176,0)</f>
        <v>-1875</v>
      </c>
      <c r="G176" s="45">
        <v>0</v>
      </c>
      <c r="H176" s="67">
        <f>IFERROR(E176-G176,0)</f>
        <v>5600</v>
      </c>
      <c r="I176" s="23"/>
      <c r="J176" s="24"/>
      <c r="K176" s="52">
        <v>5950</v>
      </c>
      <c r="L176" s="67">
        <f>IFERROR(E176-K176,0)</f>
        <v>-350</v>
      </c>
      <c r="M176" s="73"/>
      <c r="N176" s="74"/>
    </row>
    <row r="177" spans="1:14" s="38" customFormat="1" ht="15" customHeight="1" thickBot="1" x14ac:dyDescent="0.35">
      <c r="A177" s="9"/>
      <c r="B177" s="10" t="s">
        <v>10</v>
      </c>
      <c r="C177" s="11">
        <f>IFERROR(C176/C175,0)</f>
        <v>0.86516203703703709</v>
      </c>
      <c r="D177" s="11">
        <f>IFERROR(D176/D175,0)</f>
        <v>0.64467592592592593</v>
      </c>
      <c r="E177" s="11">
        <f>IFERROR(E176/E175,0)</f>
        <v>0.64814814814814814</v>
      </c>
      <c r="F177" s="68">
        <f>IFERROR(E177-C177,0)</f>
        <v>-0.21701388888888895</v>
      </c>
      <c r="G177" s="11">
        <f>IFERROR(G176/G175,0)</f>
        <v>0</v>
      </c>
      <c r="H177" s="68">
        <f>IFERROR(E177-G177,0)</f>
        <v>0.64814814814814814</v>
      </c>
      <c r="I177" s="20">
        <f>IFERROR(E177/C177-1,0)</f>
        <v>-0.25083612040133785</v>
      </c>
      <c r="J177" s="11">
        <f>IFERROR(E177/G177-1,0)</f>
        <v>0</v>
      </c>
      <c r="K177" s="12">
        <f>IFERROR(K176/K175,0)</f>
        <v>0.68865740740740744</v>
      </c>
      <c r="L177" s="68">
        <f>IFERROR(E177-K177,0)</f>
        <v>-4.05092592592593E-2</v>
      </c>
      <c r="M177" s="73"/>
      <c r="N177" s="74"/>
    </row>
    <row r="178" spans="1:14" s="27" customFormat="1" ht="5.0999999999999996" customHeight="1" thickBot="1" x14ac:dyDescent="0.35">
      <c r="A178" s="5"/>
      <c r="B178" s="6"/>
      <c r="C178" s="7"/>
      <c r="D178" s="13"/>
      <c r="E178" s="14"/>
      <c r="F178" s="67"/>
      <c r="G178" s="13"/>
      <c r="H178" s="67"/>
      <c r="I178" s="21"/>
      <c r="J178" s="22"/>
      <c r="K178" s="54"/>
      <c r="L178" s="67"/>
      <c r="M178" s="73"/>
      <c r="N178" s="74"/>
    </row>
    <row r="179" spans="1:14" s="27" customFormat="1" ht="15" customHeight="1" thickBot="1" x14ac:dyDescent="0.35">
      <c r="A179" s="5"/>
      <c r="B179" s="6" t="s">
        <v>11</v>
      </c>
      <c r="C179" s="45">
        <v>13088.25</v>
      </c>
      <c r="D179" s="45">
        <v>10350</v>
      </c>
      <c r="E179" s="46">
        <v>10050.85</v>
      </c>
      <c r="F179" s="67">
        <f>IFERROR(E179-C179,0)</f>
        <v>-3037.3999999999996</v>
      </c>
      <c r="G179" s="45">
        <v>0</v>
      </c>
      <c r="H179" s="67">
        <f>IFERROR(E179-G179,0)</f>
        <v>10050.85</v>
      </c>
      <c r="I179" s="21"/>
      <c r="J179" s="22"/>
      <c r="K179" s="52">
        <v>10533.75</v>
      </c>
      <c r="L179" s="67">
        <f>IFERROR(E179-K179,0)</f>
        <v>-482.89999999999964</v>
      </c>
      <c r="M179" s="73"/>
      <c r="N179" s="74"/>
    </row>
    <row r="180" spans="1:14" s="27" customFormat="1" ht="15" customHeight="1" thickBot="1" x14ac:dyDescent="0.35">
      <c r="A180" s="5"/>
      <c r="B180" s="6" t="s">
        <v>12</v>
      </c>
      <c r="C180" s="15">
        <f>IFERROR(C179/C176,0)</f>
        <v>1.7509364548494983</v>
      </c>
      <c r="D180" s="15">
        <f>IFERROR(D179/D176,0)</f>
        <v>1.8581687612208257</v>
      </c>
      <c r="E180" s="15">
        <f>IFERROR(E179/E176,0)</f>
        <v>1.7947946428571429</v>
      </c>
      <c r="F180" s="69">
        <f>IFERROR(E180-C180,0)</f>
        <v>4.3858188007644516E-2</v>
      </c>
      <c r="G180" s="15">
        <f>IFERROR(G179/G176,0)</f>
        <v>0</v>
      </c>
      <c r="H180" s="69">
        <f>IFERROR(E180-G180,0)</f>
        <v>1.7947946428571429</v>
      </c>
      <c r="I180" s="21"/>
      <c r="J180" s="22"/>
      <c r="K180" s="55">
        <f>IFERROR(K179/K176,0)</f>
        <v>1.7703781512605041</v>
      </c>
      <c r="L180" s="69">
        <f>IFERROR(E180-K180,0)</f>
        <v>2.4416491596638723E-2</v>
      </c>
      <c r="M180" s="73"/>
      <c r="N180" s="74"/>
    </row>
    <row r="181" spans="1:14" s="27" customFormat="1" ht="5.0999999999999996" customHeight="1" thickBot="1" x14ac:dyDescent="0.35">
      <c r="A181" s="5"/>
      <c r="B181" s="6"/>
      <c r="C181" s="7"/>
      <c r="D181" s="13"/>
      <c r="E181" s="14"/>
      <c r="F181" s="69"/>
      <c r="G181" s="13"/>
      <c r="H181" s="69"/>
      <c r="I181" s="21"/>
      <c r="J181" s="22"/>
      <c r="K181" s="54"/>
      <c r="L181" s="69"/>
      <c r="M181" s="73"/>
      <c r="N181" s="74"/>
    </row>
    <row r="182" spans="1:14" s="27" customFormat="1" ht="15" customHeight="1" thickBot="1" x14ac:dyDescent="0.35">
      <c r="A182" s="5"/>
      <c r="B182" s="6" t="s">
        <v>13</v>
      </c>
      <c r="C182" s="15">
        <f>IFERROR(C171/C176,0)</f>
        <v>83.367087290969906</v>
      </c>
      <c r="D182" s="15">
        <f>IFERROR(D171/D176,0)</f>
        <v>71.369731000505922</v>
      </c>
      <c r="E182" s="15">
        <f>IFERROR(E171/E176,0)</f>
        <v>71.257453042389855</v>
      </c>
      <c r="F182" s="69">
        <f>IFERROR(E182-C182,0)</f>
        <v>-12.109634248580051</v>
      </c>
      <c r="G182" s="15">
        <f>IFERROR(G171/G176,0)</f>
        <v>0</v>
      </c>
      <c r="H182" s="69">
        <f>IFERROR(E182-G182,0)</f>
        <v>71.257453042389855</v>
      </c>
      <c r="I182" s="21">
        <f>IFERROR(E182/C182-1,0)</f>
        <v>-0.14525677509056667</v>
      </c>
      <c r="J182" s="22">
        <f>IFERROR(E182/G182-1,0)</f>
        <v>0</v>
      </c>
      <c r="K182" s="55">
        <f>IFERROR(K171/K176,0)</f>
        <v>73.257115630252088</v>
      </c>
      <c r="L182" s="69">
        <f>IFERROR(E182-K182,0)</f>
        <v>-1.9996625878622325</v>
      </c>
      <c r="M182" s="73"/>
      <c r="N182" s="74"/>
    </row>
    <row r="183" spans="1:14" s="38" customFormat="1" ht="15" customHeight="1" thickBot="1" x14ac:dyDescent="0.35">
      <c r="A183" s="9"/>
      <c r="B183" s="10" t="s">
        <v>14</v>
      </c>
      <c r="C183" s="16">
        <f>IFERROR(C171/C175,0)</f>
        <v>72.126039062499999</v>
      </c>
      <c r="D183" s="16">
        <f>IFERROR(D171/D175,0)</f>
        <v>46.010347415835419</v>
      </c>
      <c r="E183" s="16">
        <f>IFERROR(E171/E175,0)</f>
        <v>46.185386231178612</v>
      </c>
      <c r="F183" s="70">
        <f t="shared" ref="F183:F184" si="70">IFERROR(E183-C183,0)</f>
        <v>-25.940652831321387</v>
      </c>
      <c r="G183" s="16">
        <f>IFERROR(G171/G175,0)</f>
        <v>-0.29351851851851851</v>
      </c>
      <c r="H183" s="70">
        <f t="shared" ref="H183:H184" si="71">IFERROR(E183-G183,0)</f>
        <v>46.478904749697129</v>
      </c>
      <c r="I183" s="20">
        <f>IFERROR(E183/C183-1,0)</f>
        <v>-0.35965724956617695</v>
      </c>
      <c r="J183" s="11">
        <f>IFERROR(E183/G183-1,0)</f>
        <v>-158.35084268035615</v>
      </c>
      <c r="K183" s="56">
        <f>IFERROR(K171/K175,0)</f>
        <v>50.449055324074067</v>
      </c>
      <c r="L183" s="70">
        <f>IFERROR(E183-K183,0)</f>
        <v>-4.263669092895455</v>
      </c>
      <c r="M183" s="73"/>
      <c r="N183" s="74"/>
    </row>
    <row r="184" spans="1:14" ht="15" customHeight="1" thickBot="1" x14ac:dyDescent="0.35">
      <c r="A184" s="17"/>
      <c r="B184" s="18" t="s">
        <v>34</v>
      </c>
      <c r="C184" s="19">
        <f>IFERROR(C170/C176,0)</f>
        <v>97.73806927469812</v>
      </c>
      <c r="D184" s="19">
        <f>IFERROR(D170/D176,0)</f>
        <v>84.798133021661442</v>
      </c>
      <c r="E184" s="19">
        <f>IFERROR(E170/E176,0)</f>
        <v>87.115580006675572</v>
      </c>
      <c r="F184" s="72">
        <f t="shared" si="70"/>
        <v>-10.622489268022548</v>
      </c>
      <c r="G184" s="19">
        <f>IFERROR(G170/G176,0)</f>
        <v>0</v>
      </c>
      <c r="H184" s="72">
        <f t="shared" si="71"/>
        <v>87.115580006675572</v>
      </c>
      <c r="I184" s="25">
        <f>IFERROR(E184/C184-1,0)</f>
        <v>-0.10868323210035458</v>
      </c>
      <c r="J184" s="26">
        <f>IFERROR(E184/G184-1,0)</f>
        <v>0</v>
      </c>
      <c r="K184" s="57">
        <f>IFERROR(K170/K176,0)</f>
        <v>89.029127482044544</v>
      </c>
      <c r="L184" s="72">
        <f>IFERROR(E184-K184,0)</f>
        <v>-1.9135474753689721</v>
      </c>
      <c r="M184" s="73"/>
      <c r="N184" s="74"/>
    </row>
    <row r="185" spans="1:14" s="27" customFormat="1" ht="15" customHeight="1" thickBot="1" x14ac:dyDescent="0.35">
      <c r="A185" s="1"/>
      <c r="B185" s="2" t="s">
        <v>20</v>
      </c>
      <c r="C185" s="3">
        <f>SUM(C186:C188)</f>
        <v>714839.19055908441</v>
      </c>
      <c r="D185" s="3">
        <f>SUM(D186:D188)</f>
        <v>344245.1478415663</v>
      </c>
      <c r="E185" s="4">
        <f>SUM(E186:E188)</f>
        <v>0</v>
      </c>
      <c r="F185" s="71">
        <f>IFERROR(SUM(F186:F188),0)</f>
        <v>-714839.19055908441</v>
      </c>
      <c r="G185" s="3">
        <f>SUM(G186:G188)</f>
        <v>-3413.97</v>
      </c>
      <c r="H185" s="71">
        <f>IFERROR(E185-G185,0)</f>
        <v>3413.97</v>
      </c>
      <c r="I185" s="20">
        <f>IFERROR(E185/C185-1,0)</f>
        <v>-1</v>
      </c>
      <c r="J185" s="11">
        <f>IFERROR(E185/G185-1,0)</f>
        <v>-1</v>
      </c>
      <c r="K185" s="51">
        <f>SUM(K186:K188)</f>
        <v>565500.31266368215</v>
      </c>
      <c r="L185" s="71">
        <f>IFERROR(SUM(L186:L188),0)</f>
        <v>-565500.31266368215</v>
      </c>
      <c r="M185" s="73"/>
      <c r="N185" s="74"/>
    </row>
    <row r="186" spans="1:14" s="27" customFormat="1" ht="15" customHeight="1" thickBot="1" x14ac:dyDescent="0.35">
      <c r="A186" s="5"/>
      <c r="B186" s="6" t="s">
        <v>5</v>
      </c>
      <c r="C186" s="45">
        <v>596141</v>
      </c>
      <c r="D186" s="45">
        <v>344245.1478415663</v>
      </c>
      <c r="E186" s="45">
        <v>0</v>
      </c>
      <c r="F186" s="67">
        <f>IFERROR(E186-C186,0)</f>
        <v>-596141</v>
      </c>
      <c r="G186" s="45">
        <v>-3413.97</v>
      </c>
      <c r="H186" s="67">
        <f t="shared" ref="H186:H188" si="72">IFERROR(E186-G186,0)</f>
        <v>3413.97</v>
      </c>
      <c r="I186" s="21">
        <f t="shared" ref="I186:I188" si="73">IFERROR(E186/C186-1,0)</f>
        <v>-1</v>
      </c>
      <c r="J186" s="22">
        <f t="shared" ref="J186:J188" si="74">IFERROR(E186/G186-1,0)</f>
        <v>-1</v>
      </c>
      <c r="K186" s="52">
        <v>452617.33999999997</v>
      </c>
      <c r="L186" s="67">
        <f>IFERROR(E186-K186,0)</f>
        <v>-452617.33999999997</v>
      </c>
      <c r="M186" s="73"/>
      <c r="N186" s="74"/>
    </row>
    <row r="187" spans="1:14" s="27" customFormat="1" ht="15" customHeight="1" thickBot="1" x14ac:dyDescent="0.35">
      <c r="A187" s="5"/>
      <c r="B187" s="6" t="s">
        <v>6</v>
      </c>
      <c r="C187" s="45">
        <v>103564.06324816</v>
      </c>
      <c r="D187" s="45">
        <v>0</v>
      </c>
      <c r="E187" s="45">
        <v>0</v>
      </c>
      <c r="F187" s="67">
        <f t="shared" ref="F187:F188" si="75">IFERROR(E187-C187,0)</f>
        <v>-103564.06324816</v>
      </c>
      <c r="G187" s="45">
        <v>0</v>
      </c>
      <c r="H187" s="67">
        <f t="shared" si="72"/>
        <v>0</v>
      </c>
      <c r="I187" s="21">
        <f t="shared" si="73"/>
        <v>-1</v>
      </c>
      <c r="J187" s="22">
        <f t="shared" si="74"/>
        <v>0</v>
      </c>
      <c r="K187" s="52">
        <v>96409.92266368214</v>
      </c>
      <c r="L187" s="67">
        <f>IFERROR(E187-K187,0)</f>
        <v>-96409.92266368214</v>
      </c>
      <c r="M187" s="73"/>
      <c r="N187" s="74"/>
    </row>
    <row r="188" spans="1:14" s="27" customFormat="1" ht="15" customHeight="1" thickBot="1" x14ac:dyDescent="0.35">
      <c r="A188" s="5"/>
      <c r="B188" s="6" t="s">
        <v>7</v>
      </c>
      <c r="C188" s="45">
        <v>15134.127310924399</v>
      </c>
      <c r="D188" s="45">
        <v>0</v>
      </c>
      <c r="E188" s="45">
        <v>0</v>
      </c>
      <c r="F188" s="67">
        <f t="shared" si="75"/>
        <v>-15134.127310924399</v>
      </c>
      <c r="G188" s="45">
        <v>0</v>
      </c>
      <c r="H188" s="67">
        <f t="shared" si="72"/>
        <v>0</v>
      </c>
      <c r="I188" s="21">
        <f t="shared" si="73"/>
        <v>-1</v>
      </c>
      <c r="J188" s="22">
        <f t="shared" si="74"/>
        <v>0</v>
      </c>
      <c r="K188" s="52">
        <v>16473.05</v>
      </c>
      <c r="L188" s="67">
        <f>IFERROR(E188-K188,0)</f>
        <v>-16473.05</v>
      </c>
      <c r="M188" s="73"/>
      <c r="N188" s="74"/>
    </row>
    <row r="189" spans="1:14" s="27" customFormat="1" ht="5.0999999999999996" customHeight="1" thickBot="1" x14ac:dyDescent="0.35">
      <c r="A189" s="5"/>
      <c r="B189" s="6"/>
      <c r="C189" s="7"/>
      <c r="D189" s="7"/>
      <c r="E189" s="8"/>
      <c r="F189" s="67"/>
      <c r="G189" s="7"/>
      <c r="H189" s="67"/>
      <c r="I189" s="21"/>
      <c r="J189" s="21"/>
      <c r="K189" s="53"/>
      <c r="L189" s="67"/>
      <c r="M189" s="73"/>
      <c r="N189" s="74"/>
    </row>
    <row r="190" spans="1:14" s="27" customFormat="1" ht="15" customHeight="1" thickBot="1" x14ac:dyDescent="0.35">
      <c r="A190" s="5"/>
      <c r="B190" s="6" t="s">
        <v>8</v>
      </c>
      <c r="C190" s="45">
        <v>8928</v>
      </c>
      <c r="D190" s="45">
        <v>8928</v>
      </c>
      <c r="E190" s="46">
        <v>8928</v>
      </c>
      <c r="F190" s="67">
        <f>IFERROR(E190-C190,0)</f>
        <v>0</v>
      </c>
      <c r="G190" s="45">
        <v>8928</v>
      </c>
      <c r="H190" s="67">
        <f>IFERROR(E190-G190,0)</f>
        <v>0</v>
      </c>
      <c r="I190" s="23"/>
      <c r="J190" s="24"/>
      <c r="K190" s="52">
        <v>8928</v>
      </c>
      <c r="L190" s="67">
        <f>IFERROR(E190-K190,0)</f>
        <v>0</v>
      </c>
      <c r="M190" s="73"/>
      <c r="N190" s="74"/>
    </row>
    <row r="191" spans="1:14" s="27" customFormat="1" ht="15" customHeight="1" thickBot="1" x14ac:dyDescent="0.35">
      <c r="A191" s="5"/>
      <c r="B191" s="6" t="s">
        <v>9</v>
      </c>
      <c r="C191" s="45">
        <v>7100</v>
      </c>
      <c r="D191" s="45">
        <v>4364</v>
      </c>
      <c r="E191" s="46">
        <v>0</v>
      </c>
      <c r="F191" s="67">
        <f>IFERROR(E191-C191,0)</f>
        <v>-7100</v>
      </c>
      <c r="G191" s="45">
        <v>0</v>
      </c>
      <c r="H191" s="67">
        <f>IFERROR(E191-G191,0)</f>
        <v>0</v>
      </c>
      <c r="I191" s="23"/>
      <c r="J191" s="24"/>
      <c r="K191" s="52">
        <v>6100</v>
      </c>
      <c r="L191" s="67">
        <f>IFERROR(E191-K191,0)</f>
        <v>-6100</v>
      </c>
      <c r="M191" s="73"/>
      <c r="N191" s="74"/>
    </row>
    <row r="192" spans="1:14" s="38" customFormat="1" ht="15" customHeight="1" thickBot="1" x14ac:dyDescent="0.35">
      <c r="A192" s="9"/>
      <c r="B192" s="10" t="s">
        <v>10</v>
      </c>
      <c r="C192" s="11">
        <f>IFERROR(C191/C190,0)</f>
        <v>0.79525089605734767</v>
      </c>
      <c r="D192" s="11">
        <f>IFERROR(D191/D190,0)</f>
        <v>0.48879928315412186</v>
      </c>
      <c r="E192" s="11">
        <f>IFERROR(E191/E190,0)</f>
        <v>0</v>
      </c>
      <c r="F192" s="68">
        <f>IFERROR(E192-C192,0)</f>
        <v>-0.79525089605734767</v>
      </c>
      <c r="G192" s="11">
        <f>IFERROR(G191/G190,0)</f>
        <v>0</v>
      </c>
      <c r="H192" s="68">
        <f>IFERROR(E192-G192,0)</f>
        <v>0</v>
      </c>
      <c r="I192" s="20">
        <f>IFERROR(E192/C192-1,0)</f>
        <v>-1</v>
      </c>
      <c r="J192" s="11">
        <f>IFERROR(E192/G192-1,0)</f>
        <v>0</v>
      </c>
      <c r="K192" s="12">
        <f>IFERROR(K191/K190,0)</f>
        <v>0.68324372759856633</v>
      </c>
      <c r="L192" s="68">
        <f>IFERROR(E192-K192,0)</f>
        <v>-0.68324372759856633</v>
      </c>
      <c r="M192" s="73"/>
      <c r="N192" s="74"/>
    </row>
    <row r="193" spans="1:14" s="27" customFormat="1" ht="5.0999999999999996" customHeight="1" thickBot="1" x14ac:dyDescent="0.35">
      <c r="A193" s="5"/>
      <c r="B193" s="6"/>
      <c r="C193" s="7"/>
      <c r="D193" s="13"/>
      <c r="E193" s="14"/>
      <c r="F193" s="67"/>
      <c r="G193" s="13"/>
      <c r="H193" s="67"/>
      <c r="I193" s="21"/>
      <c r="J193" s="22"/>
      <c r="K193" s="54"/>
      <c r="L193" s="67"/>
      <c r="M193" s="73"/>
      <c r="N193" s="74"/>
    </row>
    <row r="194" spans="1:14" s="27" customFormat="1" ht="15" customHeight="1" thickBot="1" x14ac:dyDescent="0.35">
      <c r="A194" s="5"/>
      <c r="B194" s="6" t="s">
        <v>11</v>
      </c>
      <c r="C194" s="45">
        <v>14296</v>
      </c>
      <c r="D194" s="45">
        <v>8987</v>
      </c>
      <c r="E194" s="46">
        <v>0</v>
      </c>
      <c r="F194" s="67">
        <f>IFERROR(E194-C194,0)</f>
        <v>-14296</v>
      </c>
      <c r="G194" s="45">
        <v>0</v>
      </c>
      <c r="H194" s="67">
        <f>IFERROR(E194-G194,0)</f>
        <v>0</v>
      </c>
      <c r="I194" s="21"/>
      <c r="J194" s="22"/>
      <c r="K194" s="52">
        <v>12253</v>
      </c>
      <c r="L194" s="67">
        <f>IFERROR(E194-K194,0)</f>
        <v>-12253</v>
      </c>
      <c r="M194" s="73"/>
      <c r="N194" s="74"/>
    </row>
    <row r="195" spans="1:14" s="27" customFormat="1" ht="15" customHeight="1" thickBot="1" x14ac:dyDescent="0.35">
      <c r="A195" s="5"/>
      <c r="B195" s="6" t="s">
        <v>12</v>
      </c>
      <c r="C195" s="15">
        <f>IFERROR(C194/C191,0)</f>
        <v>2.0135211267605633</v>
      </c>
      <c r="D195" s="15">
        <f>IFERROR(D194/D191,0)</f>
        <v>2.0593492208982584</v>
      </c>
      <c r="E195" s="15">
        <f>IFERROR(E194/E191,0)</f>
        <v>0</v>
      </c>
      <c r="F195" s="69">
        <f>IFERROR(E195-C195,0)</f>
        <v>-2.0135211267605633</v>
      </c>
      <c r="G195" s="15">
        <f>IFERROR(G194/G191,0)</f>
        <v>0</v>
      </c>
      <c r="H195" s="69">
        <f>IFERROR(E195-G195,0)</f>
        <v>0</v>
      </c>
      <c r="I195" s="21"/>
      <c r="J195" s="22"/>
      <c r="K195" s="55">
        <f>IFERROR(K194/K191,0)</f>
        <v>2.008688524590164</v>
      </c>
      <c r="L195" s="69">
        <f>IFERROR(E195-K195,0)</f>
        <v>-2.008688524590164</v>
      </c>
      <c r="M195" s="73"/>
      <c r="N195" s="74"/>
    </row>
    <row r="196" spans="1:14" s="27" customFormat="1" ht="5.0999999999999996" customHeight="1" thickBot="1" x14ac:dyDescent="0.35">
      <c r="A196" s="5"/>
      <c r="B196" s="6"/>
      <c r="C196" s="7"/>
      <c r="D196" s="13"/>
      <c r="E196" s="14"/>
      <c r="F196" s="69"/>
      <c r="G196" s="13"/>
      <c r="H196" s="69"/>
      <c r="I196" s="21"/>
      <c r="J196" s="22"/>
      <c r="K196" s="54"/>
      <c r="L196" s="69"/>
      <c r="M196" s="73"/>
      <c r="N196" s="74"/>
    </row>
    <row r="197" spans="1:14" s="27" customFormat="1" ht="15" customHeight="1" thickBot="1" x14ac:dyDescent="0.35">
      <c r="A197" s="5"/>
      <c r="B197" s="6" t="s">
        <v>13</v>
      </c>
      <c r="C197" s="15">
        <f>IFERROR(C186/C191,0)</f>
        <v>83.963521126760568</v>
      </c>
      <c r="D197" s="15">
        <f>IFERROR(D186/D191,0)</f>
        <v>78.882939468736552</v>
      </c>
      <c r="E197" s="15">
        <f>IFERROR(E186/E191,0)</f>
        <v>0</v>
      </c>
      <c r="F197" s="69">
        <f>IFERROR(E197-C197,0)</f>
        <v>-83.963521126760568</v>
      </c>
      <c r="G197" s="15">
        <f>IFERROR(G186/G191,0)</f>
        <v>0</v>
      </c>
      <c r="H197" s="69">
        <f>IFERROR(E197-G197,0)</f>
        <v>0</v>
      </c>
      <c r="I197" s="21">
        <f>IFERROR(E197/C197-1,0)</f>
        <v>-1</v>
      </c>
      <c r="J197" s="22">
        <f>IFERROR(E197/G197-1,0)</f>
        <v>0</v>
      </c>
      <c r="K197" s="55">
        <f>IFERROR(K186/K191,0)</f>
        <v>74.199563934426223</v>
      </c>
      <c r="L197" s="69">
        <f>IFERROR(E197-K197,0)</f>
        <v>-74.199563934426223</v>
      </c>
      <c r="M197" s="73"/>
      <c r="N197" s="74"/>
    </row>
    <row r="198" spans="1:14" s="38" customFormat="1" ht="15" customHeight="1" thickBot="1" x14ac:dyDescent="0.35">
      <c r="A198" s="9"/>
      <c r="B198" s="10" t="s">
        <v>14</v>
      </c>
      <c r="C198" s="16">
        <f>IFERROR(C186/C190,0)</f>
        <v>66.772065412186379</v>
      </c>
      <c r="D198" s="16">
        <f>IFERROR(D186/D190,0)</f>
        <v>38.55792426540841</v>
      </c>
      <c r="E198" s="16">
        <f>IFERROR(E186/E190,0)</f>
        <v>0</v>
      </c>
      <c r="F198" s="70">
        <f t="shared" ref="F198:F199" si="76">IFERROR(E198-C198,0)</f>
        <v>-66.772065412186379</v>
      </c>
      <c r="G198" s="16">
        <f>IFERROR(G186/G190,0)</f>
        <v>-0.3823891129032258</v>
      </c>
      <c r="H198" s="70">
        <f t="shared" ref="H198:H199" si="77">IFERROR(E198-G198,0)</f>
        <v>0.3823891129032258</v>
      </c>
      <c r="I198" s="20">
        <f>IFERROR(E198/C198-1,0)</f>
        <v>-1</v>
      </c>
      <c r="J198" s="11">
        <f>IFERROR(E198/G198-1,0)</f>
        <v>-1</v>
      </c>
      <c r="K198" s="56">
        <f>IFERROR(K186/K190,0)</f>
        <v>50.696386648745516</v>
      </c>
      <c r="L198" s="70">
        <f>IFERROR(E198-K198,0)</f>
        <v>-50.696386648745516</v>
      </c>
      <c r="M198" s="73"/>
      <c r="N198" s="74"/>
    </row>
    <row r="199" spans="1:14" ht="15" customHeight="1" thickBot="1" x14ac:dyDescent="0.35">
      <c r="A199" s="17"/>
      <c r="B199" s="18" t="s">
        <v>34</v>
      </c>
      <c r="C199" s="19">
        <f>IFERROR(C185/C191,0)</f>
        <v>100.68157613508231</v>
      </c>
      <c r="D199" s="19">
        <f>IFERROR(D185/D191,0)</f>
        <v>78.882939468736552</v>
      </c>
      <c r="E199" s="19">
        <f>IFERROR(E185/E191,0)</f>
        <v>0</v>
      </c>
      <c r="F199" s="72">
        <f t="shared" si="76"/>
        <v>-100.68157613508231</v>
      </c>
      <c r="G199" s="19">
        <f>IFERROR(G185/G191,0)</f>
        <v>0</v>
      </c>
      <c r="H199" s="72">
        <f t="shared" si="77"/>
        <v>0</v>
      </c>
      <c r="I199" s="25">
        <f>IFERROR(E199/C199-1,0)</f>
        <v>-1</v>
      </c>
      <c r="J199" s="26">
        <f>IFERROR(E199/G199-1,0)</f>
        <v>0</v>
      </c>
      <c r="K199" s="57">
        <f>IFERROR(K185/K191,0)</f>
        <v>92.704969289128229</v>
      </c>
      <c r="L199" s="72">
        <f>IFERROR(E199-K199,0)</f>
        <v>-92.704969289128229</v>
      </c>
      <c r="M199" s="73"/>
      <c r="N199" s="74"/>
    </row>
    <row r="200" spans="1:14" s="27" customFormat="1" ht="15" customHeight="1" thickBot="1" x14ac:dyDescent="0.35">
      <c r="A200" s="43" t="s">
        <v>27</v>
      </c>
      <c r="B200" s="44" t="s">
        <v>20</v>
      </c>
      <c r="C200" s="3">
        <f t="shared" ref="C200" si="78">SUM(C201:C203)</f>
        <v>4720183.5070585329</v>
      </c>
      <c r="D200" s="3">
        <f t="shared" ref="D200:E200" si="79">SUM(D201:D203)</f>
        <v>3400462.02877222</v>
      </c>
      <c r="E200" s="3">
        <f t="shared" si="79"/>
        <v>3071738.5280373823</v>
      </c>
      <c r="F200" s="71">
        <f>IFERROR(SUM(F201:F203),0)</f>
        <v>-1648444.9790211509</v>
      </c>
      <c r="G200" s="3">
        <f t="shared" ref="G200" si="80">SUM(G201:G203)</f>
        <v>2504257.7000000002</v>
      </c>
      <c r="H200" s="71">
        <f>IFERROR(E200-G200,0)</f>
        <v>567480.8280373821</v>
      </c>
      <c r="I200" s="20">
        <f>IFERROR(E200/C200-1,0)</f>
        <v>-0.34923323988486388</v>
      </c>
      <c r="J200" s="11">
        <f>IFERROR(E200/G200-1,0)</f>
        <v>0.22660640238318197</v>
      </c>
      <c r="K200" s="51">
        <f t="shared" ref="K200" si="81">SUM(K201:K203)</f>
        <v>3679114.9011818464</v>
      </c>
      <c r="L200" s="71">
        <f>IFERROR(SUM(L201:L203),0)</f>
        <v>-607376.37314446399</v>
      </c>
      <c r="M200" s="73"/>
      <c r="N200" s="74"/>
    </row>
    <row r="201" spans="1:14" s="27" customFormat="1" ht="15" customHeight="1" thickBot="1" x14ac:dyDescent="0.35">
      <c r="A201" s="5"/>
      <c r="B201" s="6" t="s">
        <v>5</v>
      </c>
      <c r="C201" s="45">
        <f t="shared" ref="C201:E203" si="82">C186+C171+C156+C141+C126+C111+C96+C81+C66+C51+C36+C21</f>
        <v>3978191.9775</v>
      </c>
      <c r="D201" s="45">
        <f t="shared" si="82"/>
        <v>2766397.3695143838</v>
      </c>
      <c r="E201" s="45">
        <f t="shared" si="82"/>
        <v>2423664.5570373824</v>
      </c>
      <c r="F201" s="67">
        <f>IFERROR(E201-C201,0)</f>
        <v>-1554527.4204626177</v>
      </c>
      <c r="G201" s="45">
        <f t="shared" ref="G201:G203" si="83">G186+G171+G156+G141+G126+G111+G96+G81+G66+G51+G36+G21</f>
        <v>1835538.6600000001</v>
      </c>
      <c r="H201" s="67">
        <f t="shared" ref="H201:H203" si="84">IFERROR(E201-G201,0)</f>
        <v>588125.89703738224</v>
      </c>
      <c r="I201" s="21">
        <f t="shared" ref="I201:I203" si="85">IFERROR(E201/C201-1,0)</f>
        <v>-0.39076229333696544</v>
      </c>
      <c r="J201" s="22">
        <f t="shared" ref="J201:J203" si="86">IFERROR(E201/G201-1,0)</f>
        <v>0.32041052027603834</v>
      </c>
      <c r="K201" s="52">
        <f t="shared" ref="K201:K203" si="87">K186+K171+K156+K141+K126+K111+K96+K81+K66+K51+K36+K21</f>
        <v>2913119.9979999992</v>
      </c>
      <c r="L201" s="67">
        <f>IFERROR(E201-K201,0)</f>
        <v>-489455.44096261682</v>
      </c>
      <c r="M201" s="73"/>
      <c r="N201" s="74"/>
    </row>
    <row r="202" spans="1:14" s="27" customFormat="1" ht="15" customHeight="1" thickBot="1" x14ac:dyDescent="0.35">
      <c r="A202" s="5"/>
      <c r="B202" s="6" t="s">
        <v>6</v>
      </c>
      <c r="C202" s="45">
        <f t="shared" si="82"/>
        <v>639633.47762576002</v>
      </c>
      <c r="D202" s="45">
        <f t="shared" si="82"/>
        <v>531912.93597974</v>
      </c>
      <c r="E202" s="45">
        <f t="shared" si="82"/>
        <v>544154.02099999995</v>
      </c>
      <c r="F202" s="67">
        <f t="shared" ref="F202:F203" si="88">IFERROR(E202-C202,0)</f>
        <v>-95479.456625760067</v>
      </c>
      <c r="G202" s="45">
        <f t="shared" si="83"/>
        <v>425529.56</v>
      </c>
      <c r="H202" s="67">
        <f t="shared" si="84"/>
        <v>118624.46099999995</v>
      </c>
      <c r="I202" s="21">
        <f t="shared" si="85"/>
        <v>-0.14927213781893955</v>
      </c>
      <c r="J202" s="22">
        <f t="shared" si="86"/>
        <v>0.27876902605779019</v>
      </c>
      <c r="K202" s="52">
        <f t="shared" si="87"/>
        <v>641635.5281818473</v>
      </c>
      <c r="L202" s="67">
        <f>IFERROR(E202-K202,0)</f>
        <v>-97481.507181847352</v>
      </c>
      <c r="M202" s="73"/>
      <c r="N202" s="74"/>
    </row>
    <row r="203" spans="1:14" s="27" customFormat="1" ht="15" customHeight="1" thickBot="1" x14ac:dyDescent="0.35">
      <c r="A203" s="5"/>
      <c r="B203" s="6" t="s">
        <v>7</v>
      </c>
      <c r="C203" s="45">
        <f t="shared" si="82"/>
        <v>102358.05193277309</v>
      </c>
      <c r="D203" s="45">
        <f t="shared" si="82"/>
        <v>102151.72327809615</v>
      </c>
      <c r="E203" s="45">
        <f t="shared" si="82"/>
        <v>103919.95</v>
      </c>
      <c r="F203" s="67">
        <f t="shared" si="88"/>
        <v>1561.8980672269099</v>
      </c>
      <c r="G203" s="45">
        <f t="shared" si="83"/>
        <v>243189.47999999998</v>
      </c>
      <c r="H203" s="67">
        <f t="shared" si="84"/>
        <v>-139269.52999999997</v>
      </c>
      <c r="I203" s="21">
        <f t="shared" si="85"/>
        <v>1.5259161714534564E-2</v>
      </c>
      <c r="J203" s="22">
        <f t="shared" si="86"/>
        <v>-0.57267908957246005</v>
      </c>
      <c r="K203" s="52">
        <f t="shared" si="87"/>
        <v>124359.3749999998</v>
      </c>
      <c r="L203" s="67">
        <f>IFERROR(E203-K203,0)</f>
        <v>-20439.424999999799</v>
      </c>
      <c r="M203" s="73"/>
      <c r="N203" s="74"/>
    </row>
    <row r="204" spans="1:14" s="27" customFormat="1" ht="5.0999999999999996" customHeight="1" thickBot="1" x14ac:dyDescent="0.35">
      <c r="A204" s="5"/>
      <c r="B204" s="6"/>
      <c r="C204" s="7"/>
      <c r="D204" s="7"/>
      <c r="E204" s="8"/>
      <c r="F204" s="67"/>
      <c r="G204" s="7"/>
      <c r="H204" s="67"/>
      <c r="I204" s="21"/>
      <c r="J204" s="21"/>
      <c r="K204" s="53"/>
      <c r="L204" s="67"/>
      <c r="M204" s="73"/>
      <c r="N204" s="74"/>
    </row>
    <row r="205" spans="1:14" s="27" customFormat="1" ht="15" customHeight="1" thickBot="1" x14ac:dyDescent="0.35">
      <c r="A205" s="5"/>
      <c r="B205" s="6" t="s">
        <v>8</v>
      </c>
      <c r="C205" s="45">
        <f t="shared" ref="C205:E206" si="89">C190+C175+C160+C145+C130+C115+C100+C85+C70+C55+C40+C25</f>
        <v>105120</v>
      </c>
      <c r="D205" s="45">
        <f t="shared" si="89"/>
        <v>105120</v>
      </c>
      <c r="E205" s="46">
        <f t="shared" si="89"/>
        <v>105120</v>
      </c>
      <c r="F205" s="67">
        <f>IFERROR(E205-C205,0)</f>
        <v>0</v>
      </c>
      <c r="G205" s="45">
        <f t="shared" ref="G205:G206" si="90">G190+G175+G160+G145+G130+G115+G100+G85+G70+G55+G40+G25</f>
        <v>105408</v>
      </c>
      <c r="H205" s="67">
        <f>IFERROR(E205-G205,0)</f>
        <v>-288</v>
      </c>
      <c r="I205" s="23"/>
      <c r="J205" s="24"/>
      <c r="K205" s="52">
        <f t="shared" ref="K205:K206" si="91">K190+K175+K160+K145+K130+K115+K100+K85+K70+K55+K40+K25</f>
        <v>105120</v>
      </c>
      <c r="L205" s="67">
        <f>IFERROR(E205-K205,0)</f>
        <v>0</v>
      </c>
      <c r="M205" s="73"/>
      <c r="N205" s="74"/>
    </row>
    <row r="206" spans="1:14" s="27" customFormat="1" ht="15" customHeight="1" thickBot="1" x14ac:dyDescent="0.35">
      <c r="A206" s="5"/>
      <c r="B206" s="6" t="s">
        <v>9</v>
      </c>
      <c r="C206" s="45">
        <f t="shared" si="89"/>
        <v>45100</v>
      </c>
      <c r="D206" s="45">
        <f t="shared" si="89"/>
        <v>42599</v>
      </c>
      <c r="E206" s="46">
        <f t="shared" si="89"/>
        <v>38265</v>
      </c>
      <c r="F206" s="67">
        <f>IFERROR(E206-C206,0)</f>
        <v>-6835</v>
      </c>
      <c r="G206" s="45">
        <f t="shared" si="90"/>
        <v>28855</v>
      </c>
      <c r="H206" s="67">
        <f>IFERROR(E206-G206,0)</f>
        <v>9410</v>
      </c>
      <c r="I206" s="23"/>
      <c r="J206" s="24"/>
      <c r="K206" s="52">
        <f t="shared" si="91"/>
        <v>44715</v>
      </c>
      <c r="L206" s="67">
        <f>IFERROR(E206-K206,0)</f>
        <v>-6450</v>
      </c>
      <c r="M206" s="73"/>
      <c r="N206" s="74"/>
    </row>
    <row r="207" spans="1:14" s="38" customFormat="1" ht="15" customHeight="1" thickBot="1" x14ac:dyDescent="0.35">
      <c r="A207" s="9"/>
      <c r="B207" s="10" t="s">
        <v>10</v>
      </c>
      <c r="C207" s="11">
        <f>IFERROR(C206/C205,0)</f>
        <v>0.42903348554033488</v>
      </c>
      <c r="D207" s="11">
        <f>IFERROR(D206/D205,0)</f>
        <v>0.4052416286149163</v>
      </c>
      <c r="E207" s="11">
        <f>IFERROR(E206/E205,0)</f>
        <v>0.36401255707762559</v>
      </c>
      <c r="F207" s="68">
        <f>IFERROR(E207-C207,0)</f>
        <v>-6.5020928462709293E-2</v>
      </c>
      <c r="G207" s="11">
        <f>IFERROR(G206/G205,0)</f>
        <v>0.27374582574377654</v>
      </c>
      <c r="H207" s="68">
        <f>IFERROR(E207-G207,0)</f>
        <v>9.0266731333849048E-2</v>
      </c>
      <c r="I207" s="20">
        <f>IFERROR(E207/C207-1,0)</f>
        <v>-0.15155210643015526</v>
      </c>
      <c r="J207" s="11">
        <f>IFERROR(E207/G207-1,0)</f>
        <v>0.32974651243938169</v>
      </c>
      <c r="K207" s="12">
        <f>IFERROR(K206/K205,0)</f>
        <v>0.42537100456621002</v>
      </c>
      <c r="L207" s="68">
        <f>IFERROR(E207-K207,0)</f>
        <v>-6.1358447488584433E-2</v>
      </c>
      <c r="M207" s="73"/>
      <c r="N207" s="74"/>
    </row>
    <row r="208" spans="1:14" s="27" customFormat="1" ht="5.0999999999999996" customHeight="1" thickBot="1" x14ac:dyDescent="0.35">
      <c r="A208" s="5"/>
      <c r="B208" s="6"/>
      <c r="C208" s="7"/>
      <c r="D208" s="13"/>
      <c r="E208" s="14"/>
      <c r="F208" s="67"/>
      <c r="G208" s="13"/>
      <c r="H208" s="67"/>
      <c r="I208" s="21"/>
      <c r="J208" s="22"/>
      <c r="K208" s="54"/>
      <c r="L208" s="67"/>
      <c r="M208" s="73"/>
      <c r="N208" s="74"/>
    </row>
    <row r="209" spans="1:14" s="27" customFormat="1" ht="15" customHeight="1" thickBot="1" x14ac:dyDescent="0.35">
      <c r="A209" s="5"/>
      <c r="B209" s="6" t="s">
        <v>11</v>
      </c>
      <c r="C209" s="45">
        <f t="shared" ref="C209:E209" si="92">C194+C179+C164+C149+C134+C119+C104+C89+C74+C59+C44+C29</f>
        <v>89475</v>
      </c>
      <c r="D209" s="45">
        <f t="shared" si="92"/>
        <v>80566</v>
      </c>
      <c r="E209" s="46">
        <f t="shared" si="92"/>
        <v>71279.850000000006</v>
      </c>
      <c r="F209" s="67">
        <f>IFERROR(E209-C209,0)</f>
        <v>-18195.149999999994</v>
      </c>
      <c r="G209" s="45">
        <f t="shared" ref="G209" si="93">G194+G179+G164+G149+G134+G119+G104+G89+G74+G59+G44+G29</f>
        <v>56733</v>
      </c>
      <c r="H209" s="67">
        <f>IFERROR(E209-G209,0)</f>
        <v>14546.850000000006</v>
      </c>
      <c r="I209" s="21">
        <f>IFERROR(E209/C209-1,0)</f>
        <v>-0.20335456831517174</v>
      </c>
      <c r="J209" s="22">
        <f>IFERROR(E209/G209-1,0)</f>
        <v>0.25640896832531346</v>
      </c>
      <c r="K209" s="52">
        <f t="shared" ref="K209" si="94">K194+K179+K164+K149+K134+K119+K104+K89+K74+K59+K44+K29</f>
        <v>84015.75</v>
      </c>
      <c r="L209" s="67">
        <f>IFERROR(E209-K209,0)</f>
        <v>-12735.899999999994</v>
      </c>
      <c r="M209" s="73"/>
      <c r="N209" s="74"/>
    </row>
    <row r="210" spans="1:14" s="27" customFormat="1" ht="15" customHeight="1" thickBot="1" x14ac:dyDescent="0.35">
      <c r="A210" s="5"/>
      <c r="B210" s="6" t="s">
        <v>12</v>
      </c>
      <c r="C210" s="15">
        <f>IFERROR(C209/C206,0)</f>
        <v>1.9839246119733924</v>
      </c>
      <c r="D210" s="15">
        <f>IFERROR(D209/D206,0)</f>
        <v>1.8912650531702622</v>
      </c>
      <c r="E210" s="39">
        <f>IFERROR(E209/E206,0)</f>
        <v>1.8627949823598591</v>
      </c>
      <c r="F210" s="69">
        <f>IFERROR(E210-C210,0)</f>
        <v>-0.12112962961353335</v>
      </c>
      <c r="G210" s="39">
        <f>IFERROR(G209/G206,0)</f>
        <v>1.9661410500779761</v>
      </c>
      <c r="H210" s="69">
        <f>IFERROR(E210-G210,0)</f>
        <v>-0.10334606771811705</v>
      </c>
      <c r="I210" s="21"/>
      <c r="J210" s="22"/>
      <c r="K210" s="55">
        <f>IFERROR(K209/K206,0)</f>
        <v>1.8789164709828916</v>
      </c>
      <c r="L210" s="69">
        <f>IFERROR(E210-K210,0)</f>
        <v>-1.6121488623032532E-2</v>
      </c>
      <c r="M210" s="73"/>
      <c r="N210" s="74"/>
    </row>
    <row r="211" spans="1:14" s="27" customFormat="1" ht="5.0999999999999996" customHeight="1" thickBot="1" x14ac:dyDescent="0.35">
      <c r="A211" s="5"/>
      <c r="B211" s="6"/>
      <c r="C211" s="7"/>
      <c r="D211" s="7"/>
      <c r="E211" s="8"/>
      <c r="F211" s="69"/>
      <c r="G211" s="8"/>
      <c r="H211" s="69"/>
      <c r="I211" s="21"/>
      <c r="J211" s="22"/>
      <c r="K211" s="53"/>
      <c r="L211" s="69"/>
      <c r="M211" s="73"/>
      <c r="N211" s="74"/>
    </row>
    <row r="212" spans="1:14" s="27" customFormat="1" ht="15" customHeight="1" thickBot="1" x14ac:dyDescent="0.35">
      <c r="A212" s="5"/>
      <c r="B212" s="6" t="s">
        <v>13</v>
      </c>
      <c r="C212" s="15">
        <f>IFERROR(C201/C206,0)</f>
        <v>88.208247838137467</v>
      </c>
      <c r="D212" s="15">
        <f>IFERROR(D201/D206,0)</f>
        <v>64.940429810896589</v>
      </c>
      <c r="E212" s="39">
        <f>IFERROR(E201/E206,0)</f>
        <v>63.338940468767341</v>
      </c>
      <c r="F212" s="69">
        <f>IFERROR(E212-C212,0)</f>
        <v>-24.869307369370127</v>
      </c>
      <c r="G212" s="39">
        <f>IFERROR(G201/G206,0)</f>
        <v>63.612499046958938</v>
      </c>
      <c r="H212" s="69">
        <f>IFERROR(E212-G212,0)</f>
        <v>-0.27355857819159723</v>
      </c>
      <c r="I212" s="21">
        <f>IFERROR(E212/C212-1,0)</f>
        <v>-0.28193857126609545</v>
      </c>
      <c r="J212" s="22">
        <f>IFERROR(E212/G212-1,0)</f>
        <v>-4.3003903680887134E-3</v>
      </c>
      <c r="K212" s="55">
        <f>IFERROR(K201/K206,0)</f>
        <v>65.148607804987122</v>
      </c>
      <c r="L212" s="69">
        <f>IFERROR(E212-K212,0)</f>
        <v>-1.8096673362197819</v>
      </c>
      <c r="M212" s="73"/>
      <c r="N212" s="74"/>
    </row>
    <row r="213" spans="1:14" s="38" customFormat="1" ht="15" customHeight="1" thickBot="1" x14ac:dyDescent="0.35">
      <c r="A213" s="9"/>
      <c r="B213" s="10" t="s">
        <v>14</v>
      </c>
      <c r="C213" s="16">
        <f>IFERROR(C201/C205,0)</f>
        <v>37.844292023401827</v>
      </c>
      <c r="D213" s="16">
        <f>IFERROR(D201/D205,0)</f>
        <v>26.316565539520393</v>
      </c>
      <c r="E213" s="40">
        <f>IFERROR(E201/E205,0)</f>
        <v>23.056169682623501</v>
      </c>
      <c r="F213" s="70">
        <f t="shared" ref="F213:F214" si="95">IFERROR(E213-C213,0)</f>
        <v>-14.788122340778326</v>
      </c>
      <c r="G213" s="40">
        <f>IFERROR(G201/G205,0)</f>
        <v>17.413656079234975</v>
      </c>
      <c r="H213" s="70">
        <f t="shared" ref="H213:H214" si="96">IFERROR(E213-G213,0)</f>
        <v>5.6425136033885259</v>
      </c>
      <c r="I213" s="20">
        <f>IFERROR(E213/C213-1,0)</f>
        <v>-0.39076229333696544</v>
      </c>
      <c r="J213" s="11">
        <f>IFERROR(E213/G213-1,0)</f>
        <v>0.32402808334528777</v>
      </c>
      <c r="K213" s="56">
        <f>IFERROR(K201/K205,0)</f>
        <v>27.712328748097406</v>
      </c>
      <c r="L213" s="70">
        <f>IFERROR(E213-K213,0)</f>
        <v>-4.6561590654739042</v>
      </c>
      <c r="M213" s="73"/>
      <c r="N213" s="74"/>
    </row>
    <row r="214" spans="1:14" ht="15" customHeight="1" thickBot="1" x14ac:dyDescent="0.35">
      <c r="A214" s="17"/>
      <c r="B214" s="18" t="s">
        <v>34</v>
      </c>
      <c r="C214" s="19">
        <f>IFERROR(C200/C206,0)</f>
        <v>104.66038818311603</v>
      </c>
      <c r="D214" s="19">
        <f>IFERROR(D200/D206,0)</f>
        <v>79.824926143154059</v>
      </c>
      <c r="E214" s="19">
        <f>IFERROR(E200/E206,0)</f>
        <v>80.27540906931614</v>
      </c>
      <c r="F214" s="72">
        <f t="shared" si="95"/>
        <v>-24.384979113799886</v>
      </c>
      <c r="G214" s="19">
        <f>IFERROR(G200/G206,0)</f>
        <v>86.787652053370309</v>
      </c>
      <c r="H214" s="72">
        <f t="shared" si="96"/>
        <v>-6.5122429840541685</v>
      </c>
      <c r="I214" s="25">
        <f>IFERROR(E214/C214-1,0)</f>
        <v>-0.2329914835700343</v>
      </c>
      <c r="J214" s="26">
        <f>IFERROR(E214/G214-1,0)</f>
        <v>-7.5036515333419151E-2</v>
      </c>
      <c r="K214" s="57">
        <f>IFERROR(K200/K206,0)</f>
        <v>82.279210582172567</v>
      </c>
      <c r="L214" s="72">
        <f>IFERROR(E214-K214,0)</f>
        <v>-2.0038015128564268</v>
      </c>
      <c r="M214" s="73"/>
      <c r="N214" s="74"/>
    </row>
  </sheetData>
  <sheetProtection algorithmName="SHA-512" hashValue="DgztxoPJ7ZOh6hGWz2HarmzJHJ+7id2efHPi2PGzgJiKV6AY1HUmxg6uw7iKRC1BDGBZwzxUlE+Z9TiREnXJTw==" saltValue="TJVRFWfyhXhBEEL5rO+FfQ==" spinCount="100000" sheet="1" objects="1" scenarios="1"/>
  <mergeCells count="19">
    <mergeCell ref="M200:N214"/>
    <mergeCell ref="M110:N124"/>
    <mergeCell ref="M125:N139"/>
    <mergeCell ref="M140:N154"/>
    <mergeCell ref="M155:N169"/>
    <mergeCell ref="M170:N184"/>
    <mergeCell ref="M185:N199"/>
    <mergeCell ref="M95:N109"/>
    <mergeCell ref="A3:A4"/>
    <mergeCell ref="B3:B4"/>
    <mergeCell ref="C3:E3"/>
    <mergeCell ref="M3:N3"/>
    <mergeCell ref="M4:N4"/>
    <mergeCell ref="M5:N19"/>
    <mergeCell ref="M20:N34"/>
    <mergeCell ref="M35:N49"/>
    <mergeCell ref="M50:N64"/>
    <mergeCell ref="M65:N79"/>
    <mergeCell ref="M80:N94"/>
  </mergeCells>
  <conditionalFormatting sqref="I159">
    <cfRule type="expression" dxfId="189" priority="58">
      <formula>$I155&gt;=0</formula>
    </cfRule>
    <cfRule type="expression" dxfId="188" priority="59">
      <formula>$I155&lt;0</formula>
    </cfRule>
  </conditionalFormatting>
  <conditionalFormatting sqref="J159">
    <cfRule type="expression" dxfId="187" priority="56">
      <formula>$J155&gt;=0</formula>
    </cfRule>
    <cfRule type="expression" dxfId="186" priority="57">
      <formula>$J155&lt;0</formula>
    </cfRule>
  </conditionalFormatting>
  <conditionalFormatting sqref="I174">
    <cfRule type="expression" dxfId="185" priority="54">
      <formula>$I170&gt;=0</formula>
    </cfRule>
    <cfRule type="expression" dxfId="184" priority="55">
      <formula>$I170&lt;0</formula>
    </cfRule>
  </conditionalFormatting>
  <conditionalFormatting sqref="J174">
    <cfRule type="expression" dxfId="183" priority="52">
      <formula>$J170&gt;=0</formula>
    </cfRule>
    <cfRule type="expression" dxfId="182" priority="53">
      <formula>$J170&lt;0</formula>
    </cfRule>
  </conditionalFormatting>
  <conditionalFormatting sqref="I24">
    <cfRule type="expression" dxfId="181" priority="94">
      <formula>$I20&gt;=0</formula>
    </cfRule>
    <cfRule type="expression" dxfId="180" priority="95">
      <formula>$I20&lt;0</formula>
    </cfRule>
  </conditionalFormatting>
  <conditionalFormatting sqref="J24">
    <cfRule type="expression" dxfId="179" priority="92">
      <formula>$J20&gt;=0</formula>
    </cfRule>
    <cfRule type="expression" dxfId="178" priority="93">
      <formula>$J20&lt;0</formula>
    </cfRule>
  </conditionalFormatting>
  <conditionalFormatting sqref="I39">
    <cfRule type="expression" dxfId="177" priority="90">
      <formula>$I35&gt;=0</formula>
    </cfRule>
    <cfRule type="expression" dxfId="176" priority="91">
      <formula>$I35&lt;0</formula>
    </cfRule>
  </conditionalFormatting>
  <conditionalFormatting sqref="J39">
    <cfRule type="expression" dxfId="175" priority="88">
      <formula>$J35&gt;=0</formula>
    </cfRule>
    <cfRule type="expression" dxfId="174" priority="89">
      <formula>$J35&lt;0</formula>
    </cfRule>
  </conditionalFormatting>
  <conditionalFormatting sqref="I54">
    <cfRule type="expression" dxfId="173" priority="86">
      <formula>$I50&gt;=0</formula>
    </cfRule>
    <cfRule type="expression" dxfId="172" priority="87">
      <formula>$I50&lt;0</formula>
    </cfRule>
  </conditionalFormatting>
  <conditionalFormatting sqref="J54">
    <cfRule type="expression" dxfId="171" priority="84">
      <formula>$J50&gt;=0</formula>
    </cfRule>
    <cfRule type="expression" dxfId="170" priority="85">
      <formula>$J50&lt;0</formula>
    </cfRule>
  </conditionalFormatting>
  <conditionalFormatting sqref="I69">
    <cfRule type="expression" dxfId="169" priority="82">
      <formula>$I65&gt;=0</formula>
    </cfRule>
    <cfRule type="expression" dxfId="168" priority="83">
      <formula>$I65&lt;0</formula>
    </cfRule>
  </conditionalFormatting>
  <conditionalFormatting sqref="J69">
    <cfRule type="expression" dxfId="167" priority="80">
      <formula>$J65&gt;=0</formula>
    </cfRule>
    <cfRule type="expression" dxfId="166" priority="81">
      <formula>$J65&lt;0</formula>
    </cfRule>
  </conditionalFormatting>
  <conditionalFormatting sqref="I84">
    <cfRule type="expression" dxfId="165" priority="78">
      <formula>$I80&gt;=0</formula>
    </cfRule>
    <cfRule type="expression" dxfId="164" priority="79">
      <formula>$I80&lt;0</formula>
    </cfRule>
  </conditionalFormatting>
  <conditionalFormatting sqref="J84">
    <cfRule type="expression" dxfId="163" priority="76">
      <formula>$J80&gt;=0</formula>
    </cfRule>
    <cfRule type="expression" dxfId="162" priority="77">
      <formula>$J80&lt;0</formula>
    </cfRule>
  </conditionalFormatting>
  <conditionalFormatting sqref="I99">
    <cfRule type="expression" dxfId="161" priority="74">
      <formula>$I95&gt;=0</formula>
    </cfRule>
    <cfRule type="expression" dxfId="160" priority="75">
      <formula>$I95&lt;0</formula>
    </cfRule>
  </conditionalFormatting>
  <conditionalFormatting sqref="J99">
    <cfRule type="expression" dxfId="159" priority="72">
      <formula>$J95&gt;=0</formula>
    </cfRule>
    <cfRule type="expression" dxfId="158" priority="73">
      <formula>$J95&lt;0</formula>
    </cfRule>
  </conditionalFormatting>
  <conditionalFormatting sqref="I114">
    <cfRule type="expression" dxfId="157" priority="70">
      <formula>$I110&gt;=0</formula>
    </cfRule>
    <cfRule type="expression" dxfId="156" priority="71">
      <formula>$I110&lt;0</formula>
    </cfRule>
  </conditionalFormatting>
  <conditionalFormatting sqref="J114">
    <cfRule type="expression" dxfId="155" priority="68">
      <formula>$J110&gt;=0</formula>
    </cfRule>
    <cfRule type="expression" dxfId="154" priority="69">
      <formula>$J110&lt;0</formula>
    </cfRule>
  </conditionalFormatting>
  <conditionalFormatting sqref="I129">
    <cfRule type="expression" dxfId="153" priority="66">
      <formula>$I125&gt;=0</formula>
    </cfRule>
    <cfRule type="expression" dxfId="152" priority="67">
      <formula>$I125&lt;0</formula>
    </cfRule>
  </conditionalFormatting>
  <conditionalFormatting sqref="J129">
    <cfRule type="expression" dxfId="151" priority="64">
      <formula>$J125&gt;=0</formula>
    </cfRule>
    <cfRule type="expression" dxfId="150" priority="65">
      <formula>$J125&lt;0</formula>
    </cfRule>
  </conditionalFormatting>
  <conditionalFormatting sqref="I144">
    <cfRule type="expression" dxfId="149" priority="62">
      <formula>$I140&gt;=0</formula>
    </cfRule>
    <cfRule type="expression" dxfId="148" priority="63">
      <formula>$I140&lt;0</formula>
    </cfRule>
  </conditionalFormatting>
  <conditionalFormatting sqref="J144">
    <cfRule type="expression" dxfId="147" priority="60">
      <formula>$J140&gt;=0</formula>
    </cfRule>
    <cfRule type="expression" dxfId="146" priority="61">
      <formula>$J140&lt;0</formula>
    </cfRule>
  </conditionalFormatting>
  <conditionalFormatting sqref="I189">
    <cfRule type="expression" dxfId="145" priority="50">
      <formula>$I185&gt;=0</formula>
    </cfRule>
    <cfRule type="expression" dxfId="144" priority="51">
      <formula>$I185&lt;0</formula>
    </cfRule>
  </conditionalFormatting>
  <conditionalFormatting sqref="J189">
    <cfRule type="expression" dxfId="143" priority="48">
      <formula>$J185&gt;=0</formula>
    </cfRule>
    <cfRule type="expression" dxfId="142" priority="49">
      <formula>$J185&lt;0</formula>
    </cfRule>
  </conditionalFormatting>
  <conditionalFormatting sqref="I204">
    <cfRule type="expression" dxfId="141" priority="46">
      <formula>$I200&gt;=0</formula>
    </cfRule>
    <cfRule type="expression" dxfId="140" priority="47">
      <formula>$I200&lt;0</formula>
    </cfRule>
  </conditionalFormatting>
  <conditionalFormatting sqref="J204">
    <cfRule type="expression" dxfId="139" priority="44">
      <formula>$J200&gt;=0</formula>
    </cfRule>
    <cfRule type="expression" dxfId="138" priority="45">
      <formula>$J200&lt;0</formula>
    </cfRule>
  </conditionalFormatting>
  <conditionalFormatting sqref="I9">
    <cfRule type="expression" dxfId="137" priority="42">
      <formula>$I5&gt;=0</formula>
    </cfRule>
    <cfRule type="expression" dxfId="136" priority="43">
      <formula>$I5&lt;0</formula>
    </cfRule>
  </conditionalFormatting>
  <conditionalFormatting sqref="J9">
    <cfRule type="expression" dxfId="135" priority="40">
      <formula>$J5&gt;=0</formula>
    </cfRule>
    <cfRule type="expression" dxfId="134" priority="41">
      <formula>$J5&lt;0</formula>
    </cfRule>
  </conditionalFormatting>
  <conditionalFormatting sqref="L207">
    <cfRule type="cellIs" dxfId="133" priority="39" operator="lessThan">
      <formula>0</formula>
    </cfRule>
  </conditionalFormatting>
  <conditionalFormatting sqref="H207">
    <cfRule type="cellIs" dxfId="132" priority="38" operator="lessThan">
      <formula>0</formula>
    </cfRule>
  </conditionalFormatting>
  <conditionalFormatting sqref="F207">
    <cfRule type="cellIs" dxfId="131" priority="37" operator="lessThan">
      <formula>0</formula>
    </cfRule>
  </conditionalFormatting>
  <conditionalFormatting sqref="F192">
    <cfRule type="cellIs" dxfId="130" priority="36" operator="lessThan">
      <formula>0</formula>
    </cfRule>
  </conditionalFormatting>
  <conditionalFormatting sqref="H192">
    <cfRule type="cellIs" dxfId="129" priority="35" operator="lessThan">
      <formula>0</formula>
    </cfRule>
  </conditionalFormatting>
  <conditionalFormatting sqref="L192">
    <cfRule type="cellIs" dxfId="128" priority="34" operator="lessThan">
      <formula>0</formula>
    </cfRule>
  </conditionalFormatting>
  <conditionalFormatting sqref="L177">
    <cfRule type="cellIs" dxfId="127" priority="33" operator="lessThan">
      <formula>0</formula>
    </cfRule>
  </conditionalFormatting>
  <conditionalFormatting sqref="H177">
    <cfRule type="cellIs" dxfId="126" priority="32" operator="lessThan">
      <formula>0</formula>
    </cfRule>
  </conditionalFormatting>
  <conditionalFormatting sqref="F177">
    <cfRule type="cellIs" dxfId="125" priority="31" operator="lessThan">
      <formula>0</formula>
    </cfRule>
  </conditionalFormatting>
  <conditionalFormatting sqref="F162">
    <cfRule type="cellIs" dxfId="124" priority="30" operator="lessThan">
      <formula>0</formula>
    </cfRule>
  </conditionalFormatting>
  <conditionalFormatting sqref="H162">
    <cfRule type="cellIs" dxfId="123" priority="29" operator="lessThan">
      <formula>0</formula>
    </cfRule>
  </conditionalFormatting>
  <conditionalFormatting sqref="L162">
    <cfRule type="cellIs" dxfId="122" priority="28" operator="lessThan">
      <formula>0</formula>
    </cfRule>
  </conditionalFormatting>
  <conditionalFormatting sqref="L147">
    <cfRule type="cellIs" dxfId="121" priority="27" operator="lessThan">
      <formula>0</formula>
    </cfRule>
  </conditionalFormatting>
  <conditionalFormatting sqref="H147">
    <cfRule type="cellIs" dxfId="120" priority="26" operator="lessThan">
      <formula>0</formula>
    </cfRule>
  </conditionalFormatting>
  <conditionalFormatting sqref="F147">
    <cfRule type="cellIs" dxfId="119" priority="25" operator="lessThan">
      <formula>0</formula>
    </cfRule>
  </conditionalFormatting>
  <conditionalFormatting sqref="F132">
    <cfRule type="cellIs" dxfId="118" priority="24" operator="lessThan">
      <formula>0</formula>
    </cfRule>
  </conditionalFormatting>
  <conditionalFormatting sqref="H132">
    <cfRule type="cellIs" dxfId="117" priority="23" operator="lessThan">
      <formula>0</formula>
    </cfRule>
  </conditionalFormatting>
  <conditionalFormatting sqref="L132">
    <cfRule type="cellIs" dxfId="116" priority="22" operator="lessThan">
      <formula>0</formula>
    </cfRule>
  </conditionalFormatting>
  <conditionalFormatting sqref="L117">
    <cfRule type="cellIs" dxfId="115" priority="21" operator="lessThan">
      <formula>0</formula>
    </cfRule>
  </conditionalFormatting>
  <conditionalFormatting sqref="H117">
    <cfRule type="cellIs" dxfId="114" priority="20" operator="lessThan">
      <formula>0</formula>
    </cfRule>
  </conditionalFormatting>
  <conditionalFormatting sqref="F117">
    <cfRule type="cellIs" dxfId="113" priority="19" operator="lessThan">
      <formula>0</formula>
    </cfRule>
  </conditionalFormatting>
  <conditionalFormatting sqref="F102">
    <cfRule type="cellIs" dxfId="112" priority="18" operator="lessThan">
      <formula>0</formula>
    </cfRule>
  </conditionalFormatting>
  <conditionalFormatting sqref="H102">
    <cfRule type="cellIs" dxfId="111" priority="17" operator="lessThan">
      <formula>0</formula>
    </cfRule>
  </conditionalFormatting>
  <conditionalFormatting sqref="L102">
    <cfRule type="cellIs" dxfId="110" priority="16" operator="lessThan">
      <formula>0</formula>
    </cfRule>
  </conditionalFormatting>
  <conditionalFormatting sqref="L87">
    <cfRule type="cellIs" dxfId="109" priority="15" operator="lessThan">
      <formula>0</formula>
    </cfRule>
  </conditionalFormatting>
  <conditionalFormatting sqref="H87">
    <cfRule type="cellIs" dxfId="108" priority="14" operator="lessThan">
      <formula>0</formula>
    </cfRule>
  </conditionalFormatting>
  <conditionalFormatting sqref="F87">
    <cfRule type="cellIs" dxfId="107" priority="13" operator="lessThan">
      <formula>0</formula>
    </cfRule>
  </conditionalFormatting>
  <conditionalFormatting sqref="F72">
    <cfRule type="cellIs" dxfId="106" priority="12" operator="lessThan">
      <formula>0</formula>
    </cfRule>
  </conditionalFormatting>
  <conditionalFormatting sqref="H72">
    <cfRule type="cellIs" dxfId="105" priority="11" operator="lessThan">
      <formula>0</formula>
    </cfRule>
  </conditionalFormatting>
  <conditionalFormatting sqref="L72">
    <cfRule type="cellIs" dxfId="104" priority="10" operator="lessThan">
      <formula>0</formula>
    </cfRule>
  </conditionalFormatting>
  <conditionalFormatting sqref="L57">
    <cfRule type="cellIs" dxfId="103" priority="9" operator="lessThan">
      <formula>0</formula>
    </cfRule>
  </conditionalFormatting>
  <conditionalFormatting sqref="H57">
    <cfRule type="cellIs" dxfId="102" priority="8" operator="lessThan">
      <formula>0</formula>
    </cfRule>
  </conditionalFormatting>
  <conditionalFormatting sqref="F57">
    <cfRule type="cellIs" dxfId="101" priority="7" operator="lessThan">
      <formula>0</formula>
    </cfRule>
  </conditionalFormatting>
  <conditionalFormatting sqref="F42">
    <cfRule type="cellIs" dxfId="100" priority="6" operator="lessThan">
      <formula>0</formula>
    </cfRule>
  </conditionalFormatting>
  <conditionalFormatting sqref="H42">
    <cfRule type="cellIs" dxfId="99" priority="5" operator="lessThan">
      <formula>0</formula>
    </cfRule>
  </conditionalFormatting>
  <conditionalFormatting sqref="L42">
    <cfRule type="cellIs" dxfId="98" priority="4" operator="lessThan">
      <formula>0</formula>
    </cfRule>
  </conditionalFormatting>
  <conditionalFormatting sqref="L27">
    <cfRule type="cellIs" dxfId="97" priority="3" operator="lessThan">
      <formula>0</formula>
    </cfRule>
  </conditionalFormatting>
  <conditionalFormatting sqref="H27">
    <cfRule type="cellIs" dxfId="96" priority="2" operator="lessThan">
      <formula>0</formula>
    </cfRule>
  </conditionalFormatting>
  <conditionalFormatting sqref="F27">
    <cfRule type="cellIs" dxfId="95" priority="1" operator="lessThan">
      <formula>0</formula>
    </cfRule>
  </conditionalFormatting>
  <dataValidations count="1">
    <dataValidation type="list" allowBlank="1" showInputMessage="1" showErrorMessage="1" sqref="B3:B4" xr:uid="{00000000-0002-0000-0300-000000000000}">
      <formula1>hotel_name_list</formula1>
    </dataValidation>
  </dataValidations>
  <pageMargins left="0.70866141732283472" right="0.70866141732283472" top="0.59055118110236227" bottom="0.59055118110236227" header="0.31496062992125984" footer="0.31496062992125984"/>
  <pageSetup paperSize="9" scale="45" fitToHeight="0" orientation="portrait" r:id="rId1"/>
  <rowBreaks count="1" manualBreakCount="1">
    <brk id="109" max="16383" man="1"/>
  </rowBreak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Tabelle4">
    <tabColor theme="3" tint="0.39997558519241921"/>
    <outlinePr summaryBelow="0" summaryRight="0"/>
    <pageSetUpPr fitToPage="1"/>
  </sheetPr>
  <dimension ref="A1:N214"/>
  <sheetViews>
    <sheetView showGridLines="0" zoomScale="80" zoomScaleNormal="80" zoomScaleSheetLayoutView="85" workbookViewId="0">
      <pane ySplit="19" topLeftCell="A170" activePane="bottomLeft" state="frozen"/>
      <selection activeCell="B3" sqref="B3:B4"/>
      <selection pane="bottomLeft" activeCell="A170" sqref="A170"/>
    </sheetView>
  </sheetViews>
  <sheetFormatPr baseColWidth="10" defaultColWidth="11.44140625" defaultRowHeight="15" x14ac:dyDescent="0.3"/>
  <cols>
    <col min="1" max="1" width="4.88671875" style="27" bestFit="1" customWidth="1"/>
    <col min="2" max="2" width="20.44140625" style="27" bestFit="1" customWidth="1"/>
    <col min="3" max="5" width="13.6640625" style="27" customWidth="1"/>
    <col min="6" max="6" width="13.6640625" style="28" customWidth="1"/>
    <col min="7" max="7" width="13.6640625" style="27" customWidth="1"/>
    <col min="8" max="8" width="13.6640625" style="28" customWidth="1"/>
    <col min="9" max="11" width="13.6640625" style="27" customWidth="1"/>
    <col min="12" max="12" width="13.6640625" style="28" customWidth="1"/>
    <col min="13" max="13" width="7.88671875" style="27" customWidth="1"/>
    <col min="14" max="14" width="23.6640625" style="27" customWidth="1"/>
    <col min="15" max="16384" width="11.44140625" style="30"/>
  </cols>
  <sheetData>
    <row r="1" spans="1:14" x14ac:dyDescent="0.3">
      <c r="M1" s="47">
        <f>IFERROR(VLOOKUP(B3,hotel_information,2,FALSE),0)</f>
        <v>336</v>
      </c>
      <c r="N1" s="29" t="s">
        <v>28</v>
      </c>
    </row>
    <row r="2" spans="1:14" ht="15.6" thickBot="1" x14ac:dyDescent="0.35">
      <c r="M2" s="47">
        <f>IFERROR(VLOOKUP(B3,hotel_information,3,FALSE),0)</f>
        <v>672</v>
      </c>
      <c r="N2" s="29" t="s">
        <v>29</v>
      </c>
    </row>
    <row r="3" spans="1:14" s="27" customFormat="1" ht="13.5" customHeight="1" thickBot="1" x14ac:dyDescent="0.3">
      <c r="A3" s="75"/>
      <c r="B3" s="77" t="s">
        <v>55</v>
      </c>
      <c r="C3" s="83">
        <v>2021</v>
      </c>
      <c r="D3" s="84"/>
      <c r="E3" s="85"/>
      <c r="F3" s="31"/>
      <c r="G3" s="31"/>
      <c r="H3" s="31"/>
      <c r="I3" s="31"/>
      <c r="J3" s="31"/>
      <c r="K3" s="32"/>
      <c r="L3" s="32"/>
      <c r="M3" s="79" t="s">
        <v>30</v>
      </c>
      <c r="N3" s="80"/>
    </row>
    <row r="4" spans="1:14" s="27" customFormat="1" ht="14.4" thickBot="1" x14ac:dyDescent="0.35">
      <c r="A4" s="76"/>
      <c r="B4" s="78"/>
      <c r="C4" s="33" t="s">
        <v>0</v>
      </c>
      <c r="D4" s="34" t="s">
        <v>1</v>
      </c>
      <c r="E4" s="34" t="s">
        <v>31</v>
      </c>
      <c r="F4" s="35" t="s">
        <v>2</v>
      </c>
      <c r="G4" s="34" t="s">
        <v>39</v>
      </c>
      <c r="H4" s="50" t="s">
        <v>38</v>
      </c>
      <c r="I4" s="34" t="s">
        <v>3</v>
      </c>
      <c r="J4" s="34" t="s">
        <v>4</v>
      </c>
      <c r="K4" s="48" t="s">
        <v>37</v>
      </c>
      <c r="L4" s="58" t="s">
        <v>32</v>
      </c>
      <c r="M4" s="81">
        <f>IFERROR(VLOOKUP(B3,hotel_information,6,FALSE),0)</f>
        <v>82.953160882611243</v>
      </c>
      <c r="N4" s="82"/>
    </row>
    <row r="5" spans="1:14" s="27" customFormat="1" ht="15" customHeight="1" thickBot="1" x14ac:dyDescent="0.35">
      <c r="A5" s="36" t="s">
        <v>27</v>
      </c>
      <c r="B5" s="37" t="str">
        <f>'Region Berlin'!B5</f>
        <v>Dezember</v>
      </c>
      <c r="C5" s="3">
        <f>SUM(C6:C8)</f>
        <v>11907128</v>
      </c>
      <c r="D5" s="3">
        <f>SUM(D6:D8)</f>
        <v>4946809</v>
      </c>
      <c r="E5" s="3">
        <f>SUM(E6:E8)</f>
        <v>4939152</v>
      </c>
      <c r="F5" s="66">
        <f>IFERROR(SUM(F6:F8),0)</f>
        <v>-6967976</v>
      </c>
      <c r="G5" s="3">
        <f>SUM(G6:G8)</f>
        <v>5581159</v>
      </c>
      <c r="H5" s="66">
        <f>IFERROR(E5-G5,0)</f>
        <v>-642007</v>
      </c>
      <c r="I5" s="20">
        <f>IFERROR(E5/C5-1,0)</f>
        <v>-0.58519367558658986</v>
      </c>
      <c r="J5" s="11">
        <f>IFERROR(E5/G5-1,0)</f>
        <v>-0.11503112525552484</v>
      </c>
      <c r="K5" s="51">
        <f>SUM(K6:K8)</f>
        <v>5519109</v>
      </c>
      <c r="L5" s="66">
        <f>IFERROR(SUM(L6:L8),0)</f>
        <v>-579957</v>
      </c>
      <c r="M5" s="73"/>
      <c r="N5" s="74"/>
    </row>
    <row r="6" spans="1:14" s="27" customFormat="1" ht="15" customHeight="1" thickBot="1" x14ac:dyDescent="0.35">
      <c r="A6" s="5"/>
      <c r="B6" s="6" t="s">
        <v>5</v>
      </c>
      <c r="C6" s="45" cm="1">
        <f t="array" ref="C6">NestedIF($B$5,C6)</f>
        <v>8350328</v>
      </c>
      <c r="D6" s="45" cm="1">
        <f t="array" ref="D6">NestedIF($B$5,D6)</f>
        <v>3154359</v>
      </c>
      <c r="E6" s="45" cm="1">
        <f t="array" ref="E6">NestedIF($B$5,E6)</f>
        <v>3096535</v>
      </c>
      <c r="F6" s="67">
        <f>IFERROR(E6-C6,0)</f>
        <v>-5253793</v>
      </c>
      <c r="G6" s="45" cm="1">
        <f t="array" ref="G6">NestedIF($B$5,G6)</f>
        <v>2825954</v>
      </c>
      <c r="H6" s="67">
        <f t="shared" ref="H6:H8" si="0">IFERROR(E6-G6,0)</f>
        <v>270581</v>
      </c>
      <c r="I6" s="21">
        <f t="shared" ref="I6:I8" si="1">IFERROR(E6/C6-1,0)</f>
        <v>-0.62917205168467638</v>
      </c>
      <c r="J6" s="22">
        <f t="shared" ref="J6:J8" si="2">IFERROR(E6/G6-1,0)</f>
        <v>9.5748550754895412E-2</v>
      </c>
      <c r="K6" s="52" cm="1">
        <f t="array" ref="K6">NestedIF($B$5,K6)</f>
        <v>3505914</v>
      </c>
      <c r="L6" s="67">
        <f>IFERROR(E6-K6,0)</f>
        <v>-409379</v>
      </c>
      <c r="M6" s="73"/>
      <c r="N6" s="74"/>
    </row>
    <row r="7" spans="1:14" s="27" customFormat="1" ht="15" customHeight="1" thickBot="1" x14ac:dyDescent="0.35">
      <c r="A7" s="5"/>
      <c r="B7" s="6" t="s">
        <v>6</v>
      </c>
      <c r="C7" s="45" cm="1">
        <f t="array" ref="C7">NestedIF($B$5,C7)</f>
        <v>2222525</v>
      </c>
      <c r="D7" s="45" cm="1">
        <f t="array" ref="D7">NestedIF($B$5,D7)</f>
        <v>1106709</v>
      </c>
      <c r="E7" s="45" cm="1">
        <f t="array" ref="E7">NestedIF($B$5,E7)</f>
        <v>1104294</v>
      </c>
      <c r="F7" s="67">
        <f t="shared" ref="F7:F8" si="3">IFERROR(E7-C7,0)</f>
        <v>-1118231</v>
      </c>
      <c r="G7" s="45" cm="1">
        <f t="array" ref="G7">NestedIF($B$5,G7)</f>
        <v>990271</v>
      </c>
      <c r="H7" s="67">
        <f t="shared" si="0"/>
        <v>114023</v>
      </c>
      <c r="I7" s="21">
        <f t="shared" si="1"/>
        <v>-0.50313539780204941</v>
      </c>
      <c r="J7" s="22">
        <f t="shared" si="2"/>
        <v>0.11514322846978242</v>
      </c>
      <c r="K7" s="52" cm="1">
        <f t="array" ref="K7">NestedIF($B$5,K7)</f>
        <v>1288189</v>
      </c>
      <c r="L7" s="67">
        <f>IFERROR(E7-K7,0)</f>
        <v>-183895</v>
      </c>
      <c r="M7" s="73"/>
      <c r="N7" s="74"/>
    </row>
    <row r="8" spans="1:14" s="27" customFormat="1" ht="15" customHeight="1" thickBot="1" x14ac:dyDescent="0.35">
      <c r="A8" s="5"/>
      <c r="B8" s="6" t="s">
        <v>7</v>
      </c>
      <c r="C8" s="45" cm="1">
        <f t="array" ref="C8">NestedIF($B$5,C8)</f>
        <v>1334275</v>
      </c>
      <c r="D8" s="45" cm="1">
        <f t="array" ref="D8">NestedIF($B$5,D8)</f>
        <v>685741</v>
      </c>
      <c r="E8" s="45" cm="1">
        <f t="array" ref="E8">NestedIF($B$5,E8)</f>
        <v>738323</v>
      </c>
      <c r="F8" s="67">
        <f t="shared" si="3"/>
        <v>-595952</v>
      </c>
      <c r="G8" s="45" cm="1">
        <f t="array" ref="G8">NestedIF($B$5,G8)</f>
        <v>1764934</v>
      </c>
      <c r="H8" s="67">
        <f t="shared" si="0"/>
        <v>-1026611</v>
      </c>
      <c r="I8" s="21">
        <f t="shared" si="1"/>
        <v>-0.44664855445841378</v>
      </c>
      <c r="J8" s="22">
        <f t="shared" si="2"/>
        <v>-0.58167104265655256</v>
      </c>
      <c r="K8" s="52" cm="1">
        <f t="array" ref="K8">NestedIF($B$5,K8)</f>
        <v>725006</v>
      </c>
      <c r="L8" s="67">
        <f>IFERROR(E8-K8,0)</f>
        <v>13317</v>
      </c>
      <c r="M8" s="73"/>
      <c r="N8" s="74"/>
    </row>
    <row r="9" spans="1:14" s="27" customFormat="1" ht="5.0999999999999996" customHeight="1" thickBot="1" x14ac:dyDescent="0.35">
      <c r="A9" s="5"/>
      <c r="B9" s="6"/>
      <c r="C9" s="7"/>
      <c r="D9" s="7"/>
      <c r="E9" s="8"/>
      <c r="F9" s="67"/>
      <c r="G9" s="7"/>
      <c r="H9" s="67"/>
      <c r="I9" s="21"/>
      <c r="J9" s="21"/>
      <c r="K9" s="53"/>
      <c r="L9" s="67"/>
      <c r="M9" s="73"/>
      <c r="N9" s="74"/>
    </row>
    <row r="10" spans="1:14" s="27" customFormat="1" ht="15" customHeight="1" thickBot="1" x14ac:dyDescent="0.35">
      <c r="A10" s="5"/>
      <c r="B10" s="6" t="s">
        <v>8</v>
      </c>
      <c r="C10" s="45" cm="1">
        <f t="array" ref="C10">NestedIF($B$5,C10)</f>
        <v>122640</v>
      </c>
      <c r="D10" s="45" cm="1">
        <f t="array" ref="D10">NestedIF($B$5,D10)</f>
        <v>122640</v>
      </c>
      <c r="E10" s="46" cm="1">
        <f t="array" ref="E10">NestedIF($B$5,E10)</f>
        <v>122640</v>
      </c>
      <c r="F10" s="67">
        <f>IFERROR(E10-C10,0)</f>
        <v>0</v>
      </c>
      <c r="G10" s="45" cm="1">
        <f t="array" ref="G10">NestedIF($B$5,G10)</f>
        <v>122976</v>
      </c>
      <c r="H10" s="67">
        <f>IFERROR(E10-G10,0)</f>
        <v>-336</v>
      </c>
      <c r="I10" s="23"/>
      <c r="J10" s="24"/>
      <c r="K10" s="52" cm="1">
        <f t="array" ref="K10">NestedIF($B$5,K10)</f>
        <v>122640</v>
      </c>
      <c r="L10" s="67">
        <f>IFERROR(E10-K10,0)</f>
        <v>0</v>
      </c>
      <c r="M10" s="73"/>
      <c r="N10" s="74"/>
    </row>
    <row r="11" spans="1:14" s="27" customFormat="1" ht="15" customHeight="1" thickBot="1" x14ac:dyDescent="0.35">
      <c r="A11" s="5"/>
      <c r="B11" s="6" t="s">
        <v>9</v>
      </c>
      <c r="C11" s="45" cm="1">
        <f t="array" ref="C11">NestedIF($B$5,C11)</f>
        <v>85126</v>
      </c>
      <c r="D11" s="45" cm="1">
        <f t="array" ref="D11">NestedIF($B$5,D11)</f>
        <v>40044</v>
      </c>
      <c r="E11" s="46" cm="1">
        <f t="array" ref="E11">NestedIF($B$5,E11)</f>
        <v>39466</v>
      </c>
      <c r="F11" s="67">
        <f>IFERROR(E11-C11,0)</f>
        <v>-45660</v>
      </c>
      <c r="G11" s="45" cm="1">
        <f t="array" ref="G11">NestedIF($B$5,G11)</f>
        <v>36624</v>
      </c>
      <c r="H11" s="67">
        <f>IFERROR(E11-G11,0)</f>
        <v>2842</v>
      </c>
      <c r="I11" s="23"/>
      <c r="J11" s="24"/>
      <c r="K11" s="52" cm="1">
        <f t="array" ref="K11">NestedIF($B$5,K11)</f>
        <v>43991</v>
      </c>
      <c r="L11" s="67">
        <f>IFERROR(E11-K11,0)</f>
        <v>-4525</v>
      </c>
      <c r="M11" s="73"/>
      <c r="N11" s="74"/>
    </row>
    <row r="12" spans="1:14" s="38" customFormat="1" ht="15" customHeight="1" thickBot="1" x14ac:dyDescent="0.35">
      <c r="A12" s="9"/>
      <c r="B12" s="10" t="s">
        <v>10</v>
      </c>
      <c r="C12" s="11">
        <f>IFERROR(C11/C10,0)</f>
        <v>0.69411285061969996</v>
      </c>
      <c r="D12" s="11">
        <f>IFERROR(D11/D10,0)</f>
        <v>0.32651663405088061</v>
      </c>
      <c r="E12" s="11">
        <f>IFERROR(E11/E10,0)</f>
        <v>0.32180365296803654</v>
      </c>
      <c r="F12" s="68">
        <f>IFERROR(E12-C12,0)</f>
        <v>-0.37230919765166343</v>
      </c>
      <c r="G12" s="11">
        <f>IFERROR(G11/G10,0)</f>
        <v>0.29781420765027322</v>
      </c>
      <c r="H12" s="68">
        <f>IFERROR(E12-G12,0)</f>
        <v>2.3989445317763314E-2</v>
      </c>
      <c r="I12" s="20">
        <f>IFERROR(E12/C12-1,0)</f>
        <v>-0.53638136409557591</v>
      </c>
      <c r="J12" s="11">
        <f>IFERROR(E12/G12-1,0)</f>
        <v>8.0551715470654761E-2</v>
      </c>
      <c r="K12" s="12">
        <f>IFERROR(K11/K10,0)</f>
        <v>0.35870026092628832</v>
      </c>
      <c r="L12" s="68">
        <f>IFERROR(E12-K12,0)</f>
        <v>-3.6896607958251781E-2</v>
      </c>
      <c r="M12" s="73"/>
      <c r="N12" s="74"/>
    </row>
    <row r="13" spans="1:14" s="27" customFormat="1" ht="5.0999999999999996" customHeight="1" thickBot="1" x14ac:dyDescent="0.35">
      <c r="A13" s="5"/>
      <c r="B13" s="6"/>
      <c r="C13" s="7"/>
      <c r="D13" s="13"/>
      <c r="E13" s="14"/>
      <c r="F13" s="67"/>
      <c r="G13" s="13"/>
      <c r="H13" s="67"/>
      <c r="I13" s="21"/>
      <c r="J13" s="22"/>
      <c r="K13" s="54"/>
      <c r="L13" s="67"/>
      <c r="M13" s="73"/>
      <c r="N13" s="74"/>
    </row>
    <row r="14" spans="1:14" s="27" customFormat="1" ht="15" customHeight="1" thickBot="1" x14ac:dyDescent="0.35">
      <c r="A14" s="5"/>
      <c r="B14" s="6" t="s">
        <v>11</v>
      </c>
      <c r="C14" s="45" cm="1">
        <f t="array" ref="C14">NestedIF($B$5,C14)</f>
        <v>137183</v>
      </c>
      <c r="D14" s="45" cm="1">
        <f t="array" ref="D14">NestedIF($B$5,D14)</f>
        <v>65369</v>
      </c>
      <c r="E14" s="46" cm="1">
        <f t="array" ref="E14">NestedIF($B$5,E14)</f>
        <v>64254</v>
      </c>
      <c r="F14" s="67">
        <f>IFERROR(E14-C14,0)</f>
        <v>-72929</v>
      </c>
      <c r="G14" s="45" cm="1">
        <f t="array" ref="G14">NestedIF($B$5,G14)</f>
        <v>59241</v>
      </c>
      <c r="H14" s="67">
        <f>IFERROR(E14-G14,0)</f>
        <v>5013</v>
      </c>
      <c r="I14" s="21">
        <f>IFERROR(E14/C14-1,0)</f>
        <v>-0.53161834921236595</v>
      </c>
      <c r="J14" s="22">
        <f>IFERROR(E14/G14-1,0)</f>
        <v>8.462044867574825E-2</v>
      </c>
      <c r="K14" s="52" cm="1">
        <f t="array" ref="K14">NestedIF($B$5,K14)</f>
        <v>71586</v>
      </c>
      <c r="L14" s="67">
        <f>IFERROR(E14-K14,0)</f>
        <v>-7332</v>
      </c>
      <c r="M14" s="73"/>
      <c r="N14" s="74"/>
    </row>
    <row r="15" spans="1:14" s="27" customFormat="1" ht="15" customHeight="1" thickBot="1" x14ac:dyDescent="0.35">
      <c r="A15" s="5"/>
      <c r="B15" s="6" t="s">
        <v>12</v>
      </c>
      <c r="C15" s="15">
        <f>IFERROR(C14/C11,0)</f>
        <v>1.6115287926133026</v>
      </c>
      <c r="D15" s="15">
        <f>IFERROR(D14/D11,0)</f>
        <v>1.6324293277394866</v>
      </c>
      <c r="E15" s="39">
        <f>IFERROR(E14/E11,0)</f>
        <v>1.6280849338671262</v>
      </c>
      <c r="F15" s="69">
        <f>IFERROR(E15-C15,0)</f>
        <v>1.6556141253823542E-2</v>
      </c>
      <c r="G15" s="15">
        <f>IFERROR(G14/G11,0)</f>
        <v>1.6175458715596329</v>
      </c>
      <c r="H15" s="69">
        <f>IFERROR(E15-G15,0)</f>
        <v>1.0539062307493241E-2</v>
      </c>
      <c r="I15" s="21"/>
      <c r="J15" s="22"/>
      <c r="K15" s="55">
        <f>IFERROR(K14/K11,0)</f>
        <v>1.6272873996953923</v>
      </c>
      <c r="L15" s="69">
        <f>IFERROR(E15-K15,0)</f>
        <v>7.9753417173389352E-4</v>
      </c>
      <c r="M15" s="73"/>
      <c r="N15" s="74"/>
    </row>
    <row r="16" spans="1:14" s="27" customFormat="1" ht="5.0999999999999996" customHeight="1" thickBot="1" x14ac:dyDescent="0.35">
      <c r="A16" s="5"/>
      <c r="B16" s="6"/>
      <c r="C16" s="7"/>
      <c r="D16" s="7"/>
      <c r="E16" s="8"/>
      <c r="F16" s="69"/>
      <c r="G16" s="7"/>
      <c r="H16" s="69"/>
      <c r="I16" s="21"/>
      <c r="J16" s="22"/>
      <c r="K16" s="53"/>
      <c r="L16" s="69"/>
      <c r="M16" s="73"/>
      <c r="N16" s="74"/>
    </row>
    <row r="17" spans="1:14" s="27" customFormat="1" ht="15" customHeight="1" thickBot="1" x14ac:dyDescent="0.35">
      <c r="A17" s="5"/>
      <c r="B17" s="6" t="s">
        <v>13</v>
      </c>
      <c r="C17" s="15">
        <f>IFERROR(C6/C11,0)</f>
        <v>98.093743392148113</v>
      </c>
      <c r="D17" s="15">
        <f>IFERROR(D6/D11,0)</f>
        <v>78.772325442013781</v>
      </c>
      <c r="E17" s="39">
        <f>IFERROR(E6/E11,0)</f>
        <v>78.460827040997316</v>
      </c>
      <c r="F17" s="69">
        <f>IFERROR(E17-C17,0)</f>
        <v>-19.632916351150797</v>
      </c>
      <c r="G17" s="15">
        <f>IFERROR(G6/G11,0)</f>
        <v>77.161260375709915</v>
      </c>
      <c r="H17" s="69">
        <f>IFERROR(E17-G17,0)</f>
        <v>1.2995666652874007</v>
      </c>
      <c r="I17" s="20">
        <f>IFERROR(E17/C17-1,0)</f>
        <v>-0.20014442993234072</v>
      </c>
      <c r="J17" s="11">
        <f>IFERROR(E17/G17-1,0)</f>
        <v>1.684221666364194E-2</v>
      </c>
      <c r="K17" s="55">
        <f>IFERROR(K6/K11,0)</f>
        <v>79.696165124684597</v>
      </c>
      <c r="L17" s="69">
        <f>IFERROR(E17-K17,0)</f>
        <v>-1.2353380836872816</v>
      </c>
      <c r="M17" s="73"/>
      <c r="N17" s="74"/>
    </row>
    <row r="18" spans="1:14" s="38" customFormat="1" ht="15" customHeight="1" thickBot="1" x14ac:dyDescent="0.35">
      <c r="A18" s="9"/>
      <c r="B18" s="10" t="s">
        <v>14</v>
      </c>
      <c r="C18" s="16">
        <f>IFERROR(C6/C10,0)</f>
        <v>68.088127853881275</v>
      </c>
      <c r="D18" s="16">
        <f>IFERROR(D6/D10,0)</f>
        <v>25.720474559686888</v>
      </c>
      <c r="E18" s="40">
        <f>IFERROR(E6/E10,0)</f>
        <v>25.248980756686237</v>
      </c>
      <c r="F18" s="70">
        <f t="shared" ref="F18:F19" si="4">IFERROR(E18-C18,0)</f>
        <v>-42.839147097195038</v>
      </c>
      <c r="G18" s="16">
        <f>IFERROR(G6/G10,0)</f>
        <v>22.979719620088474</v>
      </c>
      <c r="H18" s="70">
        <f t="shared" ref="H18:H19" si="5">IFERROR(E18-G18,0)</f>
        <v>2.2692611365977626</v>
      </c>
      <c r="I18" s="20">
        <f>IFERROR(E18/C18-1,0)</f>
        <v>-0.62917205168467638</v>
      </c>
      <c r="J18" s="11">
        <f>IFERROR(E18/G18-1,0)</f>
        <v>9.8750601578881492E-2</v>
      </c>
      <c r="K18" s="56">
        <f>IFERROR(K6/K10,0)</f>
        <v>28.587035225048922</v>
      </c>
      <c r="L18" s="70">
        <f>IFERROR(E18-K18,0)</f>
        <v>-3.3380544683626852</v>
      </c>
      <c r="M18" s="73"/>
      <c r="N18" s="74"/>
    </row>
    <row r="19" spans="1:14" ht="15" customHeight="1" thickBot="1" x14ac:dyDescent="0.35">
      <c r="A19" s="17"/>
      <c r="B19" s="18" t="s">
        <v>34</v>
      </c>
      <c r="C19" s="19">
        <f>IFERROR(C5/C11,0)</f>
        <v>139.87651246387708</v>
      </c>
      <c r="D19" s="19">
        <f>IFERROR(D5/D11,0)</f>
        <v>123.53433722904805</v>
      </c>
      <c r="E19" s="19">
        <f>IFERROR(E5/E11,0)</f>
        <v>125.1495464450413</v>
      </c>
      <c r="F19" s="69">
        <f t="shared" si="4"/>
        <v>-14.726966018835782</v>
      </c>
      <c r="G19" s="19">
        <f>IFERROR(G5/G11,0)</f>
        <v>152.39075469637396</v>
      </c>
      <c r="H19" s="69">
        <f t="shared" si="5"/>
        <v>-27.241208251332665</v>
      </c>
      <c r="I19" s="41">
        <f>IFERROR(E19/C19-1,0)</f>
        <v>-0.10528548188273568</v>
      </c>
      <c r="J19" s="42">
        <f>IFERROR(E19/G19-1,0)</f>
        <v>-0.17875892999945131</v>
      </c>
      <c r="K19" s="57">
        <f>IFERROR(K5/K11,0)</f>
        <v>125.45995771862427</v>
      </c>
      <c r="L19" s="69">
        <f>IFERROR(E19-K19,0)</f>
        <v>-0.3104112735829716</v>
      </c>
      <c r="M19" s="73"/>
      <c r="N19" s="74"/>
    </row>
    <row r="20" spans="1:14" s="27" customFormat="1" ht="15" customHeight="1" thickBot="1" x14ac:dyDescent="0.35">
      <c r="A20" s="1"/>
      <c r="B20" s="2" t="s">
        <v>21</v>
      </c>
      <c r="C20" s="3">
        <f>SUM(C21:C23)</f>
        <v>365775.00754822075</v>
      </c>
      <c r="D20" s="3">
        <f>SUM(D21:D23)</f>
        <v>-0.20000000000000129</v>
      </c>
      <c r="E20" s="4">
        <f>SUM(E21:E23)</f>
        <v>-0.20000000000000129</v>
      </c>
      <c r="F20" s="71">
        <f>IFERROR(SUM(F21:F23),0)</f>
        <v>-365775.20754822082</v>
      </c>
      <c r="G20" s="3">
        <f>SUM(G21:G23)</f>
        <v>1171873.23</v>
      </c>
      <c r="H20" s="71">
        <f>IFERROR(E20-G20,0)</f>
        <v>-1171873.43</v>
      </c>
      <c r="I20" s="20">
        <f>IFERROR(E20/C20-1,0)</f>
        <v>-1.0000005467842139</v>
      </c>
      <c r="J20" s="11">
        <f>IFERROR(E20/G20-1,0)</f>
        <v>-1.0000001706669244</v>
      </c>
      <c r="K20" s="51">
        <f>SUM(K21:K23)</f>
        <v>-0.20000000000000129</v>
      </c>
      <c r="L20" s="71">
        <f>IFERROR(SUM(L21:L23),0)</f>
        <v>0</v>
      </c>
      <c r="M20" s="73"/>
      <c r="N20" s="74"/>
    </row>
    <row r="21" spans="1:14" s="27" customFormat="1" ht="15" customHeight="1" thickBot="1" x14ac:dyDescent="0.35">
      <c r="A21" s="5"/>
      <c r="B21" s="6" t="s">
        <v>5</v>
      </c>
      <c r="C21" s="45">
        <v>255050.85383219732</v>
      </c>
      <c r="D21" s="45">
        <v>-19.23</v>
      </c>
      <c r="E21" s="45">
        <v>-19.23</v>
      </c>
      <c r="F21" s="67">
        <f>IFERROR(E21-C21,0)</f>
        <v>-255070.08383219733</v>
      </c>
      <c r="G21" s="45">
        <v>625611.12</v>
      </c>
      <c r="H21" s="67">
        <f t="shared" ref="H21:H23" si="6">IFERROR(E21-G21,0)</f>
        <v>-625630.35</v>
      </c>
      <c r="I21" s="21">
        <f t="shared" ref="I21:I23" si="7">IFERROR(E21/C21-1,0)</f>
        <v>-1.000075396728578</v>
      </c>
      <c r="J21" s="22">
        <f t="shared" ref="J21:J23" si="8">IFERROR(E21/G21-1,0)</f>
        <v>-1.0000307379446836</v>
      </c>
      <c r="K21" s="52">
        <v>-19.23</v>
      </c>
      <c r="L21" s="67">
        <f>IFERROR(E21-K21,0)</f>
        <v>0</v>
      </c>
      <c r="M21" s="73"/>
      <c r="N21" s="74"/>
    </row>
    <row r="22" spans="1:14" s="27" customFormat="1" ht="15" customHeight="1" thickBot="1" x14ac:dyDescent="0.35">
      <c r="A22" s="5"/>
      <c r="B22" s="6" t="s">
        <v>6</v>
      </c>
      <c r="C22" s="45">
        <v>74195.900144618208</v>
      </c>
      <c r="D22" s="45">
        <v>17.29</v>
      </c>
      <c r="E22" s="45">
        <v>17.29</v>
      </c>
      <c r="F22" s="67">
        <f t="shared" ref="F22:F23" si="9">IFERROR(E22-C22,0)</f>
        <v>-74178.610144618215</v>
      </c>
      <c r="G22" s="45">
        <v>318426.94</v>
      </c>
      <c r="H22" s="67">
        <f t="shared" si="6"/>
        <v>-318409.65000000002</v>
      </c>
      <c r="I22" s="21">
        <f t="shared" si="7"/>
        <v>-0.99976696825611255</v>
      </c>
      <c r="J22" s="22">
        <f t="shared" si="8"/>
        <v>-0.99994570183037901</v>
      </c>
      <c r="K22" s="52">
        <v>17.29</v>
      </c>
      <c r="L22" s="67">
        <f>IFERROR(E22-K22,0)</f>
        <v>0</v>
      </c>
      <c r="M22" s="73"/>
      <c r="N22" s="74"/>
    </row>
    <row r="23" spans="1:14" s="27" customFormat="1" ht="15" customHeight="1" thickBot="1" x14ac:dyDescent="0.35">
      <c r="A23" s="5"/>
      <c r="B23" s="6" t="s">
        <v>7</v>
      </c>
      <c r="C23" s="45">
        <v>36528.253571405257</v>
      </c>
      <c r="D23" s="45">
        <v>1.74</v>
      </c>
      <c r="E23" s="45">
        <v>1.74</v>
      </c>
      <c r="F23" s="67">
        <f t="shared" si="9"/>
        <v>-36526.513571405259</v>
      </c>
      <c r="G23" s="45">
        <v>227835.17</v>
      </c>
      <c r="H23" s="67">
        <f t="shared" si="6"/>
        <v>-227833.43000000002</v>
      </c>
      <c r="I23" s="21">
        <f t="shared" si="7"/>
        <v>-0.99995236563947409</v>
      </c>
      <c r="J23" s="22">
        <f t="shared" si="8"/>
        <v>-0.99999236289989824</v>
      </c>
      <c r="K23" s="52">
        <v>1.74</v>
      </c>
      <c r="L23" s="67">
        <f>IFERROR(E23-K23,0)</f>
        <v>0</v>
      </c>
      <c r="M23" s="73"/>
      <c r="N23" s="74"/>
    </row>
    <row r="24" spans="1:14" s="27" customFormat="1" ht="5.0999999999999996" customHeight="1" thickBot="1" x14ac:dyDescent="0.35">
      <c r="A24" s="5"/>
      <c r="B24" s="6"/>
      <c r="C24" s="7"/>
      <c r="D24" s="7"/>
      <c r="E24" s="8"/>
      <c r="F24" s="67"/>
      <c r="G24" s="7"/>
      <c r="H24" s="67"/>
      <c r="I24" s="21"/>
      <c r="J24" s="21"/>
      <c r="K24" s="53"/>
      <c r="L24" s="67"/>
      <c r="M24" s="73"/>
      <c r="N24" s="74"/>
    </row>
    <row r="25" spans="1:14" s="27" customFormat="1" ht="15" customHeight="1" thickBot="1" x14ac:dyDescent="0.35">
      <c r="A25" s="5"/>
      <c r="B25" s="6" t="s">
        <v>8</v>
      </c>
      <c r="C25" s="45">
        <v>10416</v>
      </c>
      <c r="D25" s="45">
        <v>10416</v>
      </c>
      <c r="E25" s="46">
        <v>10416</v>
      </c>
      <c r="F25" s="67">
        <f>IFERROR(E25-C25,0)</f>
        <v>0</v>
      </c>
      <c r="G25" s="45">
        <v>10416</v>
      </c>
      <c r="H25" s="67">
        <f>IFERROR(E25-G25,0)</f>
        <v>0</v>
      </c>
      <c r="I25" s="23"/>
      <c r="J25" s="24"/>
      <c r="K25" s="52">
        <v>10416</v>
      </c>
      <c r="L25" s="67">
        <f>IFERROR(E25-K25,0)</f>
        <v>0</v>
      </c>
      <c r="M25" s="73"/>
      <c r="N25" s="74"/>
    </row>
    <row r="26" spans="1:14" s="27" customFormat="1" ht="15" customHeight="1" thickBot="1" x14ac:dyDescent="0.35">
      <c r="A26" s="5"/>
      <c r="B26" s="6" t="s">
        <v>9</v>
      </c>
      <c r="C26" s="45">
        <v>3363</v>
      </c>
      <c r="D26" s="45">
        <v>0</v>
      </c>
      <c r="E26" s="46">
        <v>0</v>
      </c>
      <c r="F26" s="67">
        <f>IFERROR(E26-C26,0)</f>
        <v>-3363</v>
      </c>
      <c r="G26" s="45">
        <v>8060</v>
      </c>
      <c r="H26" s="67">
        <f>IFERROR(E26-G26,0)</f>
        <v>-8060</v>
      </c>
      <c r="I26" s="23"/>
      <c r="J26" s="24"/>
      <c r="K26" s="52">
        <v>0</v>
      </c>
      <c r="L26" s="67">
        <f>IFERROR(E26-K26,0)</f>
        <v>0</v>
      </c>
      <c r="M26" s="73"/>
      <c r="N26" s="74"/>
    </row>
    <row r="27" spans="1:14" s="38" customFormat="1" ht="15" customHeight="1" thickBot="1" x14ac:dyDescent="0.35">
      <c r="A27" s="9"/>
      <c r="B27" s="10" t="s">
        <v>10</v>
      </c>
      <c r="C27" s="11">
        <f>IFERROR(C26/C25,0)</f>
        <v>0.32286866359447003</v>
      </c>
      <c r="D27" s="11">
        <f>IFERROR(D26/D25,0)</f>
        <v>0</v>
      </c>
      <c r="E27" s="11">
        <f>IFERROR(E26/E25,0)</f>
        <v>0</v>
      </c>
      <c r="F27" s="68">
        <f>IFERROR(E27-C27,0)</f>
        <v>-0.32286866359447003</v>
      </c>
      <c r="G27" s="11">
        <f>IFERROR(G26/G25,0)</f>
        <v>0.77380952380952384</v>
      </c>
      <c r="H27" s="68">
        <f>IFERROR(E27-G27,0)</f>
        <v>-0.77380952380952384</v>
      </c>
      <c r="I27" s="20">
        <f>IFERROR(E27/C27-1,0)</f>
        <v>-1</v>
      </c>
      <c r="J27" s="11">
        <f>IFERROR(E27/G27-1,0)</f>
        <v>-1</v>
      </c>
      <c r="K27" s="12">
        <f>IFERROR(K26/K25,0)</f>
        <v>0</v>
      </c>
      <c r="L27" s="68">
        <f>IFERROR(E27-K27,0)</f>
        <v>0</v>
      </c>
      <c r="M27" s="73"/>
      <c r="N27" s="74"/>
    </row>
    <row r="28" spans="1:14" s="27" customFormat="1" ht="5.0999999999999996" customHeight="1" thickBot="1" x14ac:dyDescent="0.35">
      <c r="A28" s="5"/>
      <c r="B28" s="6"/>
      <c r="C28" s="7"/>
      <c r="D28" s="13"/>
      <c r="E28" s="14"/>
      <c r="F28" s="67"/>
      <c r="G28" s="13"/>
      <c r="H28" s="67"/>
      <c r="I28" s="21"/>
      <c r="J28" s="22"/>
      <c r="K28" s="54"/>
      <c r="L28" s="67"/>
      <c r="M28" s="73"/>
      <c r="N28" s="74"/>
    </row>
    <row r="29" spans="1:14" s="27" customFormat="1" ht="15" customHeight="1" thickBot="1" x14ac:dyDescent="0.35">
      <c r="A29" s="5"/>
      <c r="B29" s="6" t="s">
        <v>11</v>
      </c>
      <c r="C29" s="45">
        <v>5162.1600000000017</v>
      </c>
      <c r="D29" s="45">
        <v>0</v>
      </c>
      <c r="E29" s="46">
        <v>0</v>
      </c>
      <c r="F29" s="67">
        <f>IFERROR(E29-C29,0)</f>
        <v>-5162.1600000000017</v>
      </c>
      <c r="G29" s="45">
        <v>12356</v>
      </c>
      <c r="H29" s="67">
        <f>IFERROR(E29-G29,0)</f>
        <v>-12356</v>
      </c>
      <c r="I29" s="21"/>
      <c r="J29" s="22"/>
      <c r="K29" s="52">
        <v>0</v>
      </c>
      <c r="L29" s="67">
        <f>IFERROR(E29-K29,0)</f>
        <v>0</v>
      </c>
      <c r="M29" s="73"/>
      <c r="N29" s="74"/>
    </row>
    <row r="30" spans="1:14" s="27" customFormat="1" ht="15" customHeight="1" thickBot="1" x14ac:dyDescent="0.35">
      <c r="A30" s="5"/>
      <c r="B30" s="6" t="s">
        <v>12</v>
      </c>
      <c r="C30" s="15">
        <f>IFERROR(C29/C26,0)</f>
        <v>1.5349866190900987</v>
      </c>
      <c r="D30" s="15">
        <f>IFERROR(D29/D26,0)</f>
        <v>0</v>
      </c>
      <c r="E30" s="15">
        <f>IFERROR(E29/E26,0)</f>
        <v>0</v>
      </c>
      <c r="F30" s="69">
        <f>IFERROR(E30-C30,0)</f>
        <v>-1.5349866190900987</v>
      </c>
      <c r="G30" s="15">
        <f>IFERROR(G29/G26,0)</f>
        <v>1.5330024813895782</v>
      </c>
      <c r="H30" s="69">
        <f>IFERROR(E30-G30,0)</f>
        <v>-1.5330024813895782</v>
      </c>
      <c r="I30" s="21"/>
      <c r="J30" s="22"/>
      <c r="K30" s="55">
        <f>IFERROR(K29/K26,0)</f>
        <v>0</v>
      </c>
      <c r="L30" s="69">
        <f>IFERROR(E30-K30,0)</f>
        <v>0</v>
      </c>
      <c r="M30" s="73"/>
      <c r="N30" s="74"/>
    </row>
    <row r="31" spans="1:14" s="27" customFormat="1" ht="5.0999999999999996" customHeight="1" thickBot="1" x14ac:dyDescent="0.35">
      <c r="A31" s="5"/>
      <c r="B31" s="6"/>
      <c r="C31" s="7"/>
      <c r="D31" s="13"/>
      <c r="E31" s="14"/>
      <c r="F31" s="69"/>
      <c r="G31" s="13"/>
      <c r="H31" s="69"/>
      <c r="I31" s="21"/>
      <c r="J31" s="22"/>
      <c r="K31" s="54"/>
      <c r="L31" s="69"/>
      <c r="M31" s="73"/>
      <c r="N31" s="74"/>
    </row>
    <row r="32" spans="1:14" s="27" customFormat="1" ht="15" customHeight="1" thickBot="1" x14ac:dyDescent="0.35">
      <c r="A32" s="5"/>
      <c r="B32" s="6" t="s">
        <v>13</v>
      </c>
      <c r="C32" s="15">
        <f>IFERROR(C21/C26,0)</f>
        <v>75.840277678322124</v>
      </c>
      <c r="D32" s="15">
        <f>IFERROR(D21/D26,0)</f>
        <v>0</v>
      </c>
      <c r="E32" s="15">
        <f>IFERROR(E21/E26,0)</f>
        <v>0</v>
      </c>
      <c r="F32" s="69">
        <f>IFERROR(E32-C32,0)</f>
        <v>-75.840277678322124</v>
      </c>
      <c r="G32" s="15">
        <f>IFERROR(G21/G26,0)</f>
        <v>77.619245657568243</v>
      </c>
      <c r="H32" s="69">
        <f>IFERROR(E32-G32,0)</f>
        <v>-77.619245657568243</v>
      </c>
      <c r="I32" s="21">
        <f>IFERROR(E32/C32-1,0)</f>
        <v>-1</v>
      </c>
      <c r="J32" s="22">
        <f>IFERROR(E32/G32-1,0)</f>
        <v>-1</v>
      </c>
      <c r="K32" s="55">
        <f>IFERROR(K21/K26,0)</f>
        <v>0</v>
      </c>
      <c r="L32" s="69">
        <f>IFERROR(E32-K32,0)</f>
        <v>0</v>
      </c>
      <c r="M32" s="73"/>
      <c r="N32" s="74"/>
    </row>
    <row r="33" spans="1:14" s="38" customFormat="1" ht="15" customHeight="1" thickBot="1" x14ac:dyDescent="0.35">
      <c r="A33" s="9"/>
      <c r="B33" s="10" t="s">
        <v>14</v>
      </c>
      <c r="C33" s="16">
        <f>IFERROR(C21/C25,0)</f>
        <v>24.486449100633383</v>
      </c>
      <c r="D33" s="16">
        <f>IFERROR(D21/D25,0)</f>
        <v>-1.8461981566820277E-3</v>
      </c>
      <c r="E33" s="16">
        <f>IFERROR(E21/E25,0)</f>
        <v>-1.8461981566820277E-3</v>
      </c>
      <c r="F33" s="70">
        <f t="shared" ref="F33:F34" si="10">IFERROR(E33-C33,0)</f>
        <v>-24.488295298790064</v>
      </c>
      <c r="G33" s="16">
        <f>IFERROR(G21/G25,0)</f>
        <v>60.062511520737324</v>
      </c>
      <c r="H33" s="70">
        <f t="shared" ref="H33:H34" si="11">IFERROR(E33-G33,0)</f>
        <v>-60.064357718894009</v>
      </c>
      <c r="I33" s="20">
        <f>IFERROR(E33/C33-1,0)</f>
        <v>-1.000075396728578</v>
      </c>
      <c r="J33" s="11">
        <f>IFERROR(E33/G33-1,0)</f>
        <v>-1.0000307379446836</v>
      </c>
      <c r="K33" s="56">
        <f>IFERROR(K21/K25,0)</f>
        <v>-1.8461981566820277E-3</v>
      </c>
      <c r="L33" s="70">
        <f>IFERROR(E33-K33,0)</f>
        <v>0</v>
      </c>
      <c r="M33" s="73"/>
      <c r="N33" s="74"/>
    </row>
    <row r="34" spans="1:14" ht="15" customHeight="1" thickBot="1" x14ac:dyDescent="0.35">
      <c r="A34" s="17"/>
      <c r="B34" s="18" t="s">
        <v>34</v>
      </c>
      <c r="C34" s="19">
        <f>IFERROR(C20/C26,0)</f>
        <v>108.76449823021728</v>
      </c>
      <c r="D34" s="19">
        <f>IFERROR(D20/D26,0)</f>
        <v>0</v>
      </c>
      <c r="E34" s="19">
        <f>IFERROR(E20/E26,0)</f>
        <v>0</v>
      </c>
      <c r="F34" s="72">
        <f t="shared" si="10"/>
        <v>-108.76449823021728</v>
      </c>
      <c r="G34" s="19">
        <f>IFERROR(G20/G26,0)</f>
        <v>145.39370099255584</v>
      </c>
      <c r="H34" s="72">
        <f t="shared" si="11"/>
        <v>-145.39370099255584</v>
      </c>
      <c r="I34" s="25">
        <f>IFERROR(E34/C34-1,0)</f>
        <v>-1</v>
      </c>
      <c r="J34" s="26">
        <f>IFERROR(E34/G34-1,0)</f>
        <v>-1</v>
      </c>
      <c r="K34" s="57">
        <f>IFERROR(K20/K26,0)</f>
        <v>0</v>
      </c>
      <c r="L34" s="72">
        <f>IFERROR(E34-K34,0)</f>
        <v>0</v>
      </c>
      <c r="M34" s="73"/>
      <c r="N34" s="74"/>
    </row>
    <row r="35" spans="1:14" s="27" customFormat="1" ht="15" customHeight="1" thickBot="1" x14ac:dyDescent="0.35">
      <c r="A35" s="1"/>
      <c r="B35" s="2" t="s">
        <v>22</v>
      </c>
      <c r="C35" s="3">
        <f>SUM(C36:C38)</f>
        <v>359020.68699332402</v>
      </c>
      <c r="D35" s="3">
        <f>SUM(D36:D38)</f>
        <v>23500</v>
      </c>
      <c r="E35" s="4">
        <f>SUM(E36:E38)</f>
        <v>23500</v>
      </c>
      <c r="F35" s="71">
        <f>IFERROR(SUM(F36:F38),0)</f>
        <v>-335520.68699332402</v>
      </c>
      <c r="G35" s="3">
        <f>SUM(G36:G38)</f>
        <v>1030629.71</v>
      </c>
      <c r="H35" s="71">
        <f>IFERROR(E35-G35,0)</f>
        <v>-1007129.71</v>
      </c>
      <c r="I35" s="20">
        <f>IFERROR(E35/C35-1,0)</f>
        <v>-0.93454416179523103</v>
      </c>
      <c r="J35" s="11">
        <f>IFERROR(E35/G35-1,0)</f>
        <v>-0.97719840620546439</v>
      </c>
      <c r="K35" s="51">
        <f>SUM(K36:K38)</f>
        <v>23500</v>
      </c>
      <c r="L35" s="71">
        <f>IFERROR(SUM(L36:L38),0)</f>
        <v>0</v>
      </c>
      <c r="M35" s="73"/>
      <c r="N35" s="74"/>
    </row>
    <row r="36" spans="1:14" s="27" customFormat="1" ht="15" customHeight="1" thickBot="1" x14ac:dyDescent="0.35">
      <c r="A36" s="5"/>
      <c r="B36" s="6" t="s">
        <v>5</v>
      </c>
      <c r="C36" s="45">
        <v>259828.37112950638</v>
      </c>
      <c r="D36" s="45">
        <v>0</v>
      </c>
      <c r="E36" s="45">
        <v>0</v>
      </c>
      <c r="F36" s="67">
        <f>IFERROR(E36-C36,0)</f>
        <v>-259828.37112950638</v>
      </c>
      <c r="G36" s="45">
        <v>715593.53</v>
      </c>
      <c r="H36" s="67">
        <f t="shared" ref="H36:H38" si="12">IFERROR(E36-G36,0)</f>
        <v>-715593.53</v>
      </c>
      <c r="I36" s="21">
        <f t="shared" ref="I36:I38" si="13">IFERROR(E36/C36-1,0)</f>
        <v>-1</v>
      </c>
      <c r="J36" s="22">
        <f t="shared" ref="J36:J38" si="14">IFERROR(E36/G36-1,0)</f>
        <v>-1</v>
      </c>
      <c r="K36" s="52">
        <v>0</v>
      </c>
      <c r="L36" s="67">
        <f>IFERROR(E36-K36,0)</f>
        <v>0</v>
      </c>
      <c r="M36" s="73"/>
      <c r="N36" s="74"/>
    </row>
    <row r="37" spans="1:14" s="27" customFormat="1" ht="15" customHeight="1" thickBot="1" x14ac:dyDescent="0.35">
      <c r="A37" s="5"/>
      <c r="B37" s="6" t="s">
        <v>6</v>
      </c>
      <c r="C37" s="45">
        <v>64372.8641805714</v>
      </c>
      <c r="D37" s="45">
        <v>0</v>
      </c>
      <c r="E37" s="45">
        <v>0</v>
      </c>
      <c r="F37" s="67">
        <f t="shared" ref="F37:F38" si="15">IFERROR(E37-C37,0)</f>
        <v>-64372.8641805714</v>
      </c>
      <c r="G37" s="45">
        <v>201180.11</v>
      </c>
      <c r="H37" s="67">
        <f t="shared" si="12"/>
        <v>-201180.11</v>
      </c>
      <c r="I37" s="21">
        <f t="shared" si="13"/>
        <v>-1</v>
      </c>
      <c r="J37" s="22">
        <f t="shared" si="14"/>
        <v>-1</v>
      </c>
      <c r="K37" s="52">
        <v>0</v>
      </c>
      <c r="L37" s="67">
        <f>IFERROR(E37-K37,0)</f>
        <v>0</v>
      </c>
      <c r="M37" s="73"/>
      <c r="N37" s="74"/>
    </row>
    <row r="38" spans="1:14" s="27" customFormat="1" ht="15" customHeight="1" thickBot="1" x14ac:dyDescent="0.35">
      <c r="A38" s="5"/>
      <c r="B38" s="6" t="s">
        <v>7</v>
      </c>
      <c r="C38" s="45">
        <v>34819.451683246254</v>
      </c>
      <c r="D38" s="45">
        <v>23500</v>
      </c>
      <c r="E38" s="45">
        <v>23500</v>
      </c>
      <c r="F38" s="67">
        <f t="shared" si="15"/>
        <v>-11319.451683246254</v>
      </c>
      <c r="G38" s="45">
        <v>113856.07</v>
      </c>
      <c r="H38" s="67">
        <f t="shared" si="12"/>
        <v>-90356.07</v>
      </c>
      <c r="I38" s="21">
        <f t="shared" si="13"/>
        <v>-0.32508988901432723</v>
      </c>
      <c r="J38" s="22">
        <f t="shared" si="14"/>
        <v>-0.79359905888197269</v>
      </c>
      <c r="K38" s="52">
        <v>23500</v>
      </c>
      <c r="L38" s="67">
        <f>IFERROR(E38-K38,0)</f>
        <v>0</v>
      </c>
      <c r="M38" s="73"/>
      <c r="N38" s="74"/>
    </row>
    <row r="39" spans="1:14" s="27" customFormat="1" ht="5.0999999999999996" customHeight="1" thickBot="1" x14ac:dyDescent="0.35">
      <c r="A39" s="5"/>
      <c r="B39" s="6"/>
      <c r="C39" s="7"/>
      <c r="D39" s="7"/>
      <c r="E39" s="8"/>
      <c r="F39" s="67"/>
      <c r="G39" s="7"/>
      <c r="H39" s="67"/>
      <c r="I39" s="21"/>
      <c r="J39" s="21"/>
      <c r="K39" s="53"/>
      <c r="L39" s="67"/>
      <c r="M39" s="73"/>
      <c r="N39" s="74"/>
    </row>
    <row r="40" spans="1:14" s="27" customFormat="1" ht="15" customHeight="1" thickBot="1" x14ac:dyDescent="0.35">
      <c r="A40" s="5"/>
      <c r="B40" s="6" t="s">
        <v>8</v>
      </c>
      <c r="C40" s="45">
        <v>9408</v>
      </c>
      <c r="D40" s="45">
        <v>9408</v>
      </c>
      <c r="E40" s="46">
        <v>9408</v>
      </c>
      <c r="F40" s="67">
        <f>IFERROR(E40-C40,0)</f>
        <v>0</v>
      </c>
      <c r="G40" s="45">
        <v>9744</v>
      </c>
      <c r="H40" s="67">
        <f>IFERROR(E40-G40,0)</f>
        <v>-336</v>
      </c>
      <c r="I40" s="23"/>
      <c r="J40" s="24"/>
      <c r="K40" s="52">
        <v>9408</v>
      </c>
      <c r="L40" s="67">
        <f>IFERROR(E40-K40,0)</f>
        <v>0</v>
      </c>
      <c r="M40" s="73"/>
      <c r="N40" s="74"/>
    </row>
    <row r="41" spans="1:14" s="27" customFormat="1" ht="15" customHeight="1" thickBot="1" x14ac:dyDescent="0.35">
      <c r="A41" s="5"/>
      <c r="B41" s="6" t="s">
        <v>9</v>
      </c>
      <c r="C41" s="45">
        <v>3196</v>
      </c>
      <c r="D41" s="45">
        <v>0</v>
      </c>
      <c r="E41" s="46">
        <v>0</v>
      </c>
      <c r="F41" s="67">
        <f>IFERROR(E41-C41,0)</f>
        <v>-3196</v>
      </c>
      <c r="G41" s="45">
        <v>7860</v>
      </c>
      <c r="H41" s="67">
        <f>IFERROR(E41-G41,0)</f>
        <v>-7860</v>
      </c>
      <c r="I41" s="23"/>
      <c r="J41" s="24"/>
      <c r="K41" s="52">
        <v>0</v>
      </c>
      <c r="L41" s="67">
        <f>IFERROR(E41-K41,0)</f>
        <v>0</v>
      </c>
      <c r="M41" s="73"/>
      <c r="N41" s="74"/>
    </row>
    <row r="42" spans="1:14" s="38" customFormat="1" ht="15" customHeight="1" thickBot="1" x14ac:dyDescent="0.35">
      <c r="A42" s="9"/>
      <c r="B42" s="10" t="s">
        <v>10</v>
      </c>
      <c r="C42" s="11">
        <f>IFERROR(C41/C40,0)</f>
        <v>0.33971088435374147</v>
      </c>
      <c r="D42" s="11">
        <f>IFERROR(D41/D40,0)</f>
        <v>0</v>
      </c>
      <c r="E42" s="11">
        <f>IFERROR(E41/E40,0)</f>
        <v>0</v>
      </c>
      <c r="F42" s="68">
        <f>IFERROR(E42-C42,0)</f>
        <v>-0.33971088435374147</v>
      </c>
      <c r="G42" s="11">
        <f>IFERROR(G41/G40,0)</f>
        <v>0.80665024630541871</v>
      </c>
      <c r="H42" s="68">
        <f>IFERROR(E42-G42,0)</f>
        <v>-0.80665024630541871</v>
      </c>
      <c r="I42" s="20">
        <f>IFERROR(E42/C42-1,0)</f>
        <v>-1</v>
      </c>
      <c r="J42" s="11">
        <f>IFERROR(E42/G42-1,0)</f>
        <v>-1</v>
      </c>
      <c r="K42" s="12">
        <f>IFERROR(K41/K40,0)</f>
        <v>0</v>
      </c>
      <c r="L42" s="68">
        <f>IFERROR(E42-K42,0)</f>
        <v>0</v>
      </c>
      <c r="M42" s="73"/>
      <c r="N42" s="74"/>
    </row>
    <row r="43" spans="1:14" s="27" customFormat="1" ht="5.0999999999999996" customHeight="1" thickBot="1" x14ac:dyDescent="0.35">
      <c r="A43" s="5"/>
      <c r="B43" s="6"/>
      <c r="C43" s="7"/>
      <c r="D43" s="13"/>
      <c r="E43" s="14"/>
      <c r="F43" s="67"/>
      <c r="G43" s="13"/>
      <c r="H43" s="67"/>
      <c r="I43" s="21"/>
      <c r="J43" s="22"/>
      <c r="K43" s="54"/>
      <c r="L43" s="67"/>
      <c r="M43" s="73"/>
      <c r="N43" s="74"/>
    </row>
    <row r="44" spans="1:14" s="27" customFormat="1" ht="15" customHeight="1" thickBot="1" x14ac:dyDescent="0.35">
      <c r="A44" s="5"/>
      <c r="B44" s="6" t="s">
        <v>11</v>
      </c>
      <c r="C44" s="45">
        <v>4913.75</v>
      </c>
      <c r="D44" s="45">
        <v>0</v>
      </c>
      <c r="E44" s="46">
        <v>0</v>
      </c>
      <c r="F44" s="67">
        <f>IFERROR(E44-C44,0)</f>
        <v>-4913.75</v>
      </c>
      <c r="G44" s="45">
        <v>11940</v>
      </c>
      <c r="H44" s="67">
        <f>IFERROR(E44-G44,0)</f>
        <v>-11940</v>
      </c>
      <c r="I44" s="21"/>
      <c r="J44" s="22"/>
      <c r="K44" s="52">
        <v>0</v>
      </c>
      <c r="L44" s="67">
        <f>IFERROR(E44-K44,0)</f>
        <v>0</v>
      </c>
      <c r="M44" s="73"/>
      <c r="N44" s="74"/>
    </row>
    <row r="45" spans="1:14" s="27" customFormat="1" ht="15" customHeight="1" thickBot="1" x14ac:dyDescent="0.35">
      <c r="A45" s="5"/>
      <c r="B45" s="6" t="s">
        <v>12</v>
      </c>
      <c r="C45" s="15">
        <f>IFERROR(C44/C41,0)</f>
        <v>1.5374687108886107</v>
      </c>
      <c r="D45" s="15">
        <f>IFERROR(D44/D41,0)</f>
        <v>0</v>
      </c>
      <c r="E45" s="15">
        <f>IFERROR(E44/E41,0)</f>
        <v>0</v>
      </c>
      <c r="F45" s="69">
        <f>IFERROR(E45-C45,0)</f>
        <v>-1.5374687108886107</v>
      </c>
      <c r="G45" s="15">
        <f>IFERROR(G44/G41,0)</f>
        <v>1.5190839694656488</v>
      </c>
      <c r="H45" s="69">
        <f>IFERROR(E45-G45,0)</f>
        <v>-1.5190839694656488</v>
      </c>
      <c r="I45" s="21"/>
      <c r="J45" s="22"/>
      <c r="K45" s="55">
        <f>IFERROR(K44/K41,0)</f>
        <v>0</v>
      </c>
      <c r="L45" s="69">
        <f>IFERROR(E45-K45,0)</f>
        <v>0</v>
      </c>
      <c r="M45" s="73"/>
      <c r="N45" s="74"/>
    </row>
    <row r="46" spans="1:14" s="27" customFormat="1" ht="5.0999999999999996" customHeight="1" thickBot="1" x14ac:dyDescent="0.35">
      <c r="A46" s="5"/>
      <c r="B46" s="6"/>
      <c r="C46" s="7"/>
      <c r="D46" s="13"/>
      <c r="E46" s="14"/>
      <c r="F46" s="69"/>
      <c r="G46" s="13"/>
      <c r="H46" s="69"/>
      <c r="I46" s="21"/>
      <c r="J46" s="22"/>
      <c r="K46" s="54"/>
      <c r="L46" s="69"/>
      <c r="M46" s="73"/>
      <c r="N46" s="74"/>
    </row>
    <row r="47" spans="1:14" s="27" customFormat="1" ht="15" customHeight="1" thickBot="1" x14ac:dyDescent="0.35">
      <c r="A47" s="5"/>
      <c r="B47" s="6" t="s">
        <v>13</v>
      </c>
      <c r="C47" s="15">
        <f>IFERROR(C36/C41,0)</f>
        <v>81.297988463550183</v>
      </c>
      <c r="D47" s="15">
        <f>IFERROR(D36/D41,0)</f>
        <v>0</v>
      </c>
      <c r="E47" s="15">
        <f>IFERROR(E36/E41,0)</f>
        <v>0</v>
      </c>
      <c r="F47" s="69">
        <f>IFERROR(E47-C47,0)</f>
        <v>-81.297988463550183</v>
      </c>
      <c r="G47" s="15">
        <f>IFERROR(G36/G41,0)</f>
        <v>91.042433842239191</v>
      </c>
      <c r="H47" s="69">
        <f>IFERROR(E47-G47,0)</f>
        <v>-91.042433842239191</v>
      </c>
      <c r="I47" s="21">
        <f>IFERROR(E47/C47-1,0)</f>
        <v>-1</v>
      </c>
      <c r="J47" s="22">
        <f>IFERROR(E47/G47-1,0)</f>
        <v>-1</v>
      </c>
      <c r="K47" s="55">
        <f>IFERROR(K36/K41,0)</f>
        <v>0</v>
      </c>
      <c r="L47" s="69">
        <f>IFERROR(E47-K47,0)</f>
        <v>0</v>
      </c>
      <c r="M47" s="73"/>
      <c r="N47" s="74"/>
    </row>
    <row r="48" spans="1:14" s="38" customFormat="1" ht="15" customHeight="1" thickBot="1" x14ac:dyDescent="0.35">
      <c r="A48" s="9"/>
      <c r="B48" s="10" t="s">
        <v>14</v>
      </c>
      <c r="C48" s="16">
        <f>IFERROR(C36/C40,0)</f>
        <v>27.617811557132907</v>
      </c>
      <c r="D48" s="16">
        <f>IFERROR(D36/D40,0)</f>
        <v>0</v>
      </c>
      <c r="E48" s="16">
        <f>IFERROR(E36/E40,0)</f>
        <v>0</v>
      </c>
      <c r="F48" s="70">
        <f t="shared" ref="F48:F49" si="16">IFERROR(E48-C48,0)</f>
        <v>-27.617811557132907</v>
      </c>
      <c r="G48" s="16">
        <f>IFERROR(G36/G40,0)</f>
        <v>73.439401683087027</v>
      </c>
      <c r="H48" s="70">
        <f t="shared" ref="H48:H49" si="17">IFERROR(E48-G48,0)</f>
        <v>-73.439401683087027</v>
      </c>
      <c r="I48" s="20">
        <f>IFERROR(E48/C48-1,0)</f>
        <v>-1</v>
      </c>
      <c r="J48" s="11">
        <f>IFERROR(E48/G48-1,0)</f>
        <v>-1</v>
      </c>
      <c r="K48" s="56">
        <f>IFERROR(K36/K40,0)</f>
        <v>0</v>
      </c>
      <c r="L48" s="70">
        <f>IFERROR(E48-K48,0)</f>
        <v>0</v>
      </c>
      <c r="M48" s="73"/>
      <c r="N48" s="74"/>
    </row>
    <row r="49" spans="1:14" ht="15" customHeight="1" thickBot="1" x14ac:dyDescent="0.35">
      <c r="A49" s="17"/>
      <c r="B49" s="18" t="s">
        <v>34</v>
      </c>
      <c r="C49" s="19">
        <f>IFERROR(C35/C41,0)</f>
        <v>112.33438266374344</v>
      </c>
      <c r="D49" s="19">
        <f>IFERROR(D35/D41,0)</f>
        <v>0</v>
      </c>
      <c r="E49" s="19">
        <f>IFERROR(E35/E41,0)</f>
        <v>0</v>
      </c>
      <c r="F49" s="72">
        <f t="shared" si="16"/>
        <v>-112.33438266374344</v>
      </c>
      <c r="G49" s="19">
        <f>IFERROR(G35/G41,0)</f>
        <v>131.12337277353689</v>
      </c>
      <c r="H49" s="72">
        <f t="shared" si="17"/>
        <v>-131.12337277353689</v>
      </c>
      <c r="I49" s="25">
        <f>IFERROR(E49/C49-1,0)</f>
        <v>-1</v>
      </c>
      <c r="J49" s="26">
        <f>IFERROR(E49/G49-1,0)</f>
        <v>-1</v>
      </c>
      <c r="K49" s="57">
        <f>IFERROR(K35/K41,0)</f>
        <v>0</v>
      </c>
      <c r="L49" s="72">
        <f>IFERROR(E49-K49,0)</f>
        <v>0</v>
      </c>
      <c r="M49" s="73"/>
      <c r="N49" s="74"/>
    </row>
    <row r="50" spans="1:14" s="27" customFormat="1" ht="15" customHeight="1" thickBot="1" x14ac:dyDescent="0.35">
      <c r="A50" s="1"/>
      <c r="B50" s="2" t="s">
        <v>23</v>
      </c>
      <c r="C50" s="3">
        <f>SUM(C51:C53)</f>
        <v>901162.77248782478</v>
      </c>
      <c r="D50" s="3">
        <f>SUM(D51:D53)</f>
        <v>19593.25</v>
      </c>
      <c r="E50" s="4">
        <f>SUM(E51:E53)</f>
        <v>19593.25</v>
      </c>
      <c r="F50" s="71">
        <f>IFERROR(SUM(F51:F53),0)</f>
        <v>-881569.52248782478</v>
      </c>
      <c r="G50" s="3">
        <f>SUM(G51:G53)</f>
        <v>1196504.5199999996</v>
      </c>
      <c r="H50" s="71">
        <f>IFERROR(E50-G50,0)</f>
        <v>-1176911.2699999996</v>
      </c>
      <c r="I50" s="20">
        <f>IFERROR(E50/C50-1,0)</f>
        <v>-0.97825781246388011</v>
      </c>
      <c r="J50" s="11">
        <f>IFERROR(E50/G50-1,0)</f>
        <v>-0.98362459173994599</v>
      </c>
      <c r="K50" s="51">
        <f>SUM(K51:K53)</f>
        <v>19593.25</v>
      </c>
      <c r="L50" s="71">
        <f>IFERROR(SUM(L51:L53),0)</f>
        <v>0</v>
      </c>
      <c r="M50" s="73"/>
      <c r="N50" s="74"/>
    </row>
    <row r="51" spans="1:14" s="27" customFormat="1" ht="15" customHeight="1" thickBot="1" x14ac:dyDescent="0.35">
      <c r="A51" s="5"/>
      <c r="B51" s="6" t="s">
        <v>5</v>
      </c>
      <c r="C51" s="45">
        <v>545667.01775398257</v>
      </c>
      <c r="D51" s="45">
        <v>0</v>
      </c>
      <c r="E51" s="45">
        <v>0</v>
      </c>
      <c r="F51" s="67">
        <f>IFERROR(E51-C51,0)</f>
        <v>-545667.01775398257</v>
      </c>
      <c r="G51" s="45">
        <v>273801.52</v>
      </c>
      <c r="H51" s="67">
        <f t="shared" ref="H51:H53" si="18">IFERROR(E51-G51,0)</f>
        <v>-273801.52</v>
      </c>
      <c r="I51" s="21">
        <f t="shared" ref="I51:I53" si="19">IFERROR(E51/C51-1,0)</f>
        <v>-1</v>
      </c>
      <c r="J51" s="22">
        <f t="shared" ref="J51:J53" si="20">IFERROR(E51/G51-1,0)</f>
        <v>-1</v>
      </c>
      <c r="K51" s="52">
        <v>0</v>
      </c>
      <c r="L51" s="67">
        <f>IFERROR(E51-K51,0)</f>
        <v>0</v>
      </c>
      <c r="M51" s="73"/>
      <c r="N51" s="74"/>
    </row>
    <row r="52" spans="1:14" s="27" customFormat="1" ht="15" customHeight="1" thickBot="1" x14ac:dyDescent="0.35">
      <c r="A52" s="5"/>
      <c r="B52" s="6" t="s">
        <v>6</v>
      </c>
      <c r="C52" s="45">
        <v>208573.1638059731</v>
      </c>
      <c r="D52" s="45">
        <v>0</v>
      </c>
      <c r="E52" s="45">
        <v>0</v>
      </c>
      <c r="F52" s="67">
        <f t="shared" ref="F52:F53" si="21">IFERROR(E52-C52,0)</f>
        <v>-208573.1638059731</v>
      </c>
      <c r="G52" s="45">
        <v>85707.22</v>
      </c>
      <c r="H52" s="67">
        <f t="shared" si="18"/>
        <v>-85707.22</v>
      </c>
      <c r="I52" s="21">
        <f t="shared" si="19"/>
        <v>-1</v>
      </c>
      <c r="J52" s="22">
        <f t="shared" si="20"/>
        <v>-1</v>
      </c>
      <c r="K52" s="52">
        <v>0</v>
      </c>
      <c r="L52" s="67">
        <f>IFERROR(E52-K52,0)</f>
        <v>0</v>
      </c>
      <c r="M52" s="73"/>
      <c r="N52" s="74"/>
    </row>
    <row r="53" spans="1:14" s="27" customFormat="1" ht="15" customHeight="1" thickBot="1" x14ac:dyDescent="0.35">
      <c r="A53" s="5"/>
      <c r="B53" s="6" t="s">
        <v>7</v>
      </c>
      <c r="C53" s="45">
        <v>146922.59092786902</v>
      </c>
      <c r="D53" s="45">
        <v>19593.25</v>
      </c>
      <c r="E53" s="45">
        <v>19593.25</v>
      </c>
      <c r="F53" s="67">
        <f t="shared" si="21"/>
        <v>-127329.34092786902</v>
      </c>
      <c r="G53" s="45">
        <v>836995.77999999956</v>
      </c>
      <c r="H53" s="67">
        <f t="shared" si="18"/>
        <v>-817402.52999999956</v>
      </c>
      <c r="I53" s="21">
        <f t="shared" si="19"/>
        <v>-0.86664235992394656</v>
      </c>
      <c r="J53" s="22">
        <f t="shared" si="20"/>
        <v>-0.97659098113971377</v>
      </c>
      <c r="K53" s="52">
        <v>19593.25</v>
      </c>
      <c r="L53" s="67">
        <f>IFERROR(E53-K53,0)</f>
        <v>0</v>
      </c>
      <c r="M53" s="73"/>
      <c r="N53" s="74"/>
    </row>
    <row r="54" spans="1:14" s="27" customFormat="1" ht="5.0999999999999996" customHeight="1" thickBot="1" x14ac:dyDescent="0.35">
      <c r="A54" s="5"/>
      <c r="B54" s="6"/>
      <c r="C54" s="7"/>
      <c r="D54" s="7"/>
      <c r="E54" s="8"/>
      <c r="F54" s="67"/>
      <c r="G54" s="7"/>
      <c r="H54" s="67"/>
      <c r="I54" s="21"/>
      <c r="J54" s="21"/>
      <c r="K54" s="53"/>
      <c r="L54" s="67"/>
      <c r="M54" s="73"/>
      <c r="N54" s="74"/>
    </row>
    <row r="55" spans="1:14" s="27" customFormat="1" ht="15" customHeight="1" thickBot="1" x14ac:dyDescent="0.35">
      <c r="A55" s="5"/>
      <c r="B55" s="6" t="s">
        <v>8</v>
      </c>
      <c r="C55" s="45">
        <v>10416</v>
      </c>
      <c r="D55" s="45">
        <v>10416</v>
      </c>
      <c r="E55" s="46">
        <v>10416</v>
      </c>
      <c r="F55" s="67">
        <f>IFERROR(E55-C55,0)</f>
        <v>0</v>
      </c>
      <c r="G55" s="45">
        <v>10416</v>
      </c>
      <c r="H55" s="67">
        <f>IFERROR(E55-G55,0)</f>
        <v>0</v>
      </c>
      <c r="I55" s="23"/>
      <c r="J55" s="24"/>
      <c r="K55" s="52">
        <v>10416</v>
      </c>
      <c r="L55" s="67">
        <f>IFERROR(E55-K55,0)</f>
        <v>0</v>
      </c>
      <c r="M55" s="73"/>
      <c r="N55" s="74"/>
    </row>
    <row r="56" spans="1:14" s="27" customFormat="1" ht="15" customHeight="1" thickBot="1" x14ac:dyDescent="0.35">
      <c r="A56" s="5"/>
      <c r="B56" s="6" t="s">
        <v>9</v>
      </c>
      <c r="C56" s="45">
        <v>6188</v>
      </c>
      <c r="D56" s="45">
        <v>0</v>
      </c>
      <c r="E56" s="46">
        <v>0</v>
      </c>
      <c r="F56" s="67">
        <f>IFERROR(E56-C56,0)</f>
        <v>-6188</v>
      </c>
      <c r="G56" s="45">
        <v>2553</v>
      </c>
      <c r="H56" s="67">
        <f>IFERROR(E56-G56,0)</f>
        <v>-2553</v>
      </c>
      <c r="I56" s="23"/>
      <c r="J56" s="24"/>
      <c r="K56" s="52">
        <v>0</v>
      </c>
      <c r="L56" s="67">
        <f>IFERROR(E56-K56,0)</f>
        <v>0</v>
      </c>
      <c r="M56" s="73"/>
      <c r="N56" s="74"/>
    </row>
    <row r="57" spans="1:14" s="38" customFormat="1" ht="15" customHeight="1" thickBot="1" x14ac:dyDescent="0.35">
      <c r="A57" s="9"/>
      <c r="B57" s="10" t="s">
        <v>10</v>
      </c>
      <c r="C57" s="11">
        <f>IFERROR(C56/C55,0)</f>
        <v>0.59408602150537637</v>
      </c>
      <c r="D57" s="11">
        <f>IFERROR(D56/D55,0)</f>
        <v>0</v>
      </c>
      <c r="E57" s="11">
        <f>IFERROR(E56/E55,0)</f>
        <v>0</v>
      </c>
      <c r="F57" s="68">
        <f>IFERROR(E57-C57,0)</f>
        <v>-0.59408602150537637</v>
      </c>
      <c r="G57" s="11">
        <f>IFERROR(G56/G55,0)</f>
        <v>0.2451036866359447</v>
      </c>
      <c r="H57" s="68">
        <f>IFERROR(E57-G57,0)</f>
        <v>-0.2451036866359447</v>
      </c>
      <c r="I57" s="20">
        <f>IFERROR(E57/C57-1,0)</f>
        <v>-1</v>
      </c>
      <c r="J57" s="11">
        <f>IFERROR(E57/G57-1,0)</f>
        <v>-1</v>
      </c>
      <c r="K57" s="12">
        <f>IFERROR(K56/K55,0)</f>
        <v>0</v>
      </c>
      <c r="L57" s="68">
        <f>IFERROR(E57-K57,0)</f>
        <v>0</v>
      </c>
      <c r="M57" s="73"/>
      <c r="N57" s="74"/>
    </row>
    <row r="58" spans="1:14" s="27" customFormat="1" ht="5.0999999999999996" customHeight="1" thickBot="1" x14ac:dyDescent="0.35">
      <c r="A58" s="5"/>
      <c r="B58" s="6"/>
      <c r="C58" s="7"/>
      <c r="D58" s="13"/>
      <c r="E58" s="14"/>
      <c r="F58" s="67"/>
      <c r="G58" s="13"/>
      <c r="H58" s="67"/>
      <c r="I58" s="21"/>
      <c r="J58" s="22"/>
      <c r="K58" s="54"/>
      <c r="L58" s="67"/>
      <c r="M58" s="73"/>
      <c r="N58" s="74"/>
    </row>
    <row r="59" spans="1:14" s="27" customFormat="1" ht="15" customHeight="1" thickBot="1" x14ac:dyDescent="0.35">
      <c r="A59" s="5"/>
      <c r="B59" s="6" t="s">
        <v>11</v>
      </c>
      <c r="C59" s="45">
        <v>9422.4699999999993</v>
      </c>
      <c r="D59" s="45">
        <v>0</v>
      </c>
      <c r="E59" s="46">
        <v>0</v>
      </c>
      <c r="F59" s="67">
        <f>IFERROR(E59-C59,0)</f>
        <v>-9422.4699999999993</v>
      </c>
      <c r="G59" s="45">
        <v>3872</v>
      </c>
      <c r="H59" s="67">
        <f>IFERROR(E59-G59,0)</f>
        <v>-3872</v>
      </c>
      <c r="I59" s="21"/>
      <c r="J59" s="22"/>
      <c r="K59" s="52">
        <v>0</v>
      </c>
      <c r="L59" s="67">
        <f>IFERROR(E59-K59,0)</f>
        <v>0</v>
      </c>
      <c r="M59" s="73"/>
      <c r="N59" s="74"/>
    </row>
    <row r="60" spans="1:14" s="27" customFormat="1" ht="15" customHeight="1" thickBot="1" x14ac:dyDescent="0.35">
      <c r="A60" s="5"/>
      <c r="B60" s="6" t="s">
        <v>12</v>
      </c>
      <c r="C60" s="15">
        <f>IFERROR(C59/C56,0)</f>
        <v>1.5227003878474465</v>
      </c>
      <c r="D60" s="15">
        <f>IFERROR(D59/D56,0)</f>
        <v>0</v>
      </c>
      <c r="E60" s="15">
        <f>IFERROR(E59/E56,0)</f>
        <v>0</v>
      </c>
      <c r="F60" s="69">
        <f>IFERROR(E60-C60,0)</f>
        <v>-1.5227003878474465</v>
      </c>
      <c r="G60" s="15">
        <f>IFERROR(G59/G56,0)</f>
        <v>1.5166470818644733</v>
      </c>
      <c r="H60" s="69">
        <f>IFERROR(E60-G60,0)</f>
        <v>-1.5166470818644733</v>
      </c>
      <c r="I60" s="21"/>
      <c r="J60" s="22"/>
      <c r="K60" s="55">
        <f>IFERROR(K59/K56,0)</f>
        <v>0</v>
      </c>
      <c r="L60" s="69">
        <f>IFERROR(E60-K60,0)</f>
        <v>0</v>
      </c>
      <c r="M60" s="73"/>
      <c r="N60" s="74"/>
    </row>
    <row r="61" spans="1:14" s="27" customFormat="1" ht="5.0999999999999996" customHeight="1" thickBot="1" x14ac:dyDescent="0.35">
      <c r="A61" s="5"/>
      <c r="B61" s="6"/>
      <c r="C61" s="7"/>
      <c r="D61" s="13"/>
      <c r="E61" s="14"/>
      <c r="F61" s="69"/>
      <c r="G61" s="13"/>
      <c r="H61" s="69"/>
      <c r="I61" s="21"/>
      <c r="J61" s="22"/>
      <c r="K61" s="54"/>
      <c r="L61" s="69"/>
      <c r="M61" s="73"/>
      <c r="N61" s="74"/>
    </row>
    <row r="62" spans="1:14" s="27" customFormat="1" ht="15" customHeight="1" thickBot="1" x14ac:dyDescent="0.35">
      <c r="A62" s="5"/>
      <c r="B62" s="6" t="s">
        <v>13</v>
      </c>
      <c r="C62" s="15">
        <f>IFERROR(C51/C56,0)</f>
        <v>88.181483153520134</v>
      </c>
      <c r="D62" s="15">
        <f>IFERROR(D51/D56,0)</f>
        <v>0</v>
      </c>
      <c r="E62" s="15">
        <f>IFERROR(E51/E56,0)</f>
        <v>0</v>
      </c>
      <c r="F62" s="69">
        <f>IFERROR(E62-C62,0)</f>
        <v>-88.181483153520134</v>
      </c>
      <c r="G62" s="15">
        <f>IFERROR(G51/G56,0)</f>
        <v>107.24697218958089</v>
      </c>
      <c r="H62" s="69">
        <f>IFERROR(E62-G62,0)</f>
        <v>-107.24697218958089</v>
      </c>
      <c r="I62" s="21">
        <f>IFERROR(E62/C62-1,0)</f>
        <v>-1</v>
      </c>
      <c r="J62" s="22">
        <f>IFERROR(E62/G62-1,0)</f>
        <v>-1</v>
      </c>
      <c r="K62" s="55">
        <f>IFERROR(K51/K56,0)</f>
        <v>0</v>
      </c>
      <c r="L62" s="69">
        <f>IFERROR(E62-K62,0)</f>
        <v>0</v>
      </c>
      <c r="M62" s="73"/>
      <c r="N62" s="74"/>
    </row>
    <row r="63" spans="1:14" s="38" customFormat="1" ht="15" customHeight="1" thickBot="1" x14ac:dyDescent="0.35">
      <c r="A63" s="9"/>
      <c r="B63" s="10" t="s">
        <v>14</v>
      </c>
      <c r="C63" s="16">
        <f>IFERROR(C51/C55,0)</f>
        <v>52.387386497118143</v>
      </c>
      <c r="D63" s="16">
        <f>IFERROR(D51/D55,0)</f>
        <v>0</v>
      </c>
      <c r="E63" s="16">
        <f>IFERROR(E51/E55,0)</f>
        <v>0</v>
      </c>
      <c r="F63" s="70">
        <f t="shared" ref="F63:F64" si="22">IFERROR(E63-C63,0)</f>
        <v>-52.387386497118143</v>
      </c>
      <c r="G63" s="16">
        <f>IFERROR(G51/G55,0)</f>
        <v>26.286628264208911</v>
      </c>
      <c r="H63" s="70">
        <f t="shared" ref="H63:H64" si="23">IFERROR(E63-G63,0)</f>
        <v>-26.286628264208911</v>
      </c>
      <c r="I63" s="20">
        <f>IFERROR(E63/C63-1,0)</f>
        <v>-1</v>
      </c>
      <c r="J63" s="11">
        <f>IFERROR(E63/G63-1,0)</f>
        <v>-1</v>
      </c>
      <c r="K63" s="56">
        <f>IFERROR(K51/K55,0)</f>
        <v>0</v>
      </c>
      <c r="L63" s="70">
        <f>IFERROR(E63-K63,0)</f>
        <v>0</v>
      </c>
      <c r="M63" s="73"/>
      <c r="N63" s="74"/>
    </row>
    <row r="64" spans="1:14" ht="15" customHeight="1" thickBot="1" x14ac:dyDescent="0.35">
      <c r="A64" s="17"/>
      <c r="B64" s="18" t="s">
        <v>34</v>
      </c>
      <c r="C64" s="19">
        <f>IFERROR(C50/C56,0)</f>
        <v>145.63070014347525</v>
      </c>
      <c r="D64" s="19">
        <f>IFERROR(D50/D56,0)</f>
        <v>0</v>
      </c>
      <c r="E64" s="19">
        <f>IFERROR(E50/E56,0)</f>
        <v>0</v>
      </c>
      <c r="F64" s="72">
        <f t="shared" si="22"/>
        <v>-145.63070014347525</v>
      </c>
      <c r="G64" s="19">
        <f>IFERROR(G50/G56,0)</f>
        <v>468.66608695652155</v>
      </c>
      <c r="H64" s="72">
        <f t="shared" si="23"/>
        <v>-468.66608695652155</v>
      </c>
      <c r="I64" s="25">
        <f>IFERROR(E64/C64-1,0)</f>
        <v>-1</v>
      </c>
      <c r="J64" s="26">
        <f>IFERROR(E64/G64-1,0)</f>
        <v>-1</v>
      </c>
      <c r="K64" s="57">
        <f>IFERROR(K50/K56,0)</f>
        <v>0</v>
      </c>
      <c r="L64" s="72">
        <f>IFERROR(E64-K64,0)</f>
        <v>0</v>
      </c>
      <c r="M64" s="73"/>
      <c r="N64" s="74"/>
    </row>
    <row r="65" spans="1:14" s="27" customFormat="1" ht="15" customHeight="1" thickBot="1" x14ac:dyDescent="0.35">
      <c r="A65" s="1"/>
      <c r="B65" s="2" t="s">
        <v>24</v>
      </c>
      <c r="C65" s="3">
        <f>SUM(C66:C68)</f>
        <v>847006.23808874271</v>
      </c>
      <c r="D65" s="3">
        <f>SUM(D66:D68)</f>
        <v>5879.46</v>
      </c>
      <c r="E65" s="4">
        <f>SUM(E66:E68)</f>
        <v>5879.46</v>
      </c>
      <c r="F65" s="71">
        <f>IFERROR(SUM(F66:F68),0)</f>
        <v>-841126.77808874275</v>
      </c>
      <c r="G65" s="3">
        <f>SUM(G66:G68)</f>
        <v>62229.57</v>
      </c>
      <c r="H65" s="71">
        <f>IFERROR(E65-G65,0)</f>
        <v>-56350.11</v>
      </c>
      <c r="I65" s="20">
        <f>IFERROR(E65/C65-1,0)</f>
        <v>-0.9930585399072539</v>
      </c>
      <c r="J65" s="11">
        <f>IFERROR(E65/G65-1,0)</f>
        <v>-0.90551983566654892</v>
      </c>
      <c r="K65" s="51">
        <f>SUM(K66:K68)</f>
        <v>5879.46</v>
      </c>
      <c r="L65" s="71">
        <f>IFERROR(SUM(L66:L68),0)</f>
        <v>0</v>
      </c>
      <c r="M65" s="73"/>
      <c r="N65" s="74"/>
    </row>
    <row r="66" spans="1:14" s="27" customFormat="1" ht="15" customHeight="1" thickBot="1" x14ac:dyDescent="0.35">
      <c r="A66" s="5"/>
      <c r="B66" s="6" t="s">
        <v>5</v>
      </c>
      <c r="C66" s="45">
        <v>650041.43739651283</v>
      </c>
      <c r="D66" s="45">
        <v>-0.65</v>
      </c>
      <c r="E66" s="45">
        <v>-0.65</v>
      </c>
      <c r="F66" s="67">
        <f>IFERROR(E66-C66,0)</f>
        <v>-650042.08739651286</v>
      </c>
      <c r="G66" s="45">
        <v>-653.26</v>
      </c>
      <c r="H66" s="67">
        <f t="shared" ref="H66:H68" si="24">IFERROR(E66-G66,0)</f>
        <v>652.61</v>
      </c>
      <c r="I66" s="21">
        <f t="shared" ref="I66:I68" si="25">IFERROR(E66/C66-1,0)</f>
        <v>-1.0000009999362542</v>
      </c>
      <c r="J66" s="22">
        <f t="shared" ref="J66:J68" si="26">IFERROR(E66/G66-1,0)</f>
        <v>-0.99900499035606039</v>
      </c>
      <c r="K66" s="52">
        <v>-0.65</v>
      </c>
      <c r="L66" s="67">
        <f>IFERROR(E66-K66,0)</f>
        <v>0</v>
      </c>
      <c r="M66" s="73"/>
      <c r="N66" s="74"/>
    </row>
    <row r="67" spans="1:14" s="27" customFormat="1" ht="15" customHeight="1" thickBot="1" x14ac:dyDescent="0.35">
      <c r="A67" s="5"/>
      <c r="B67" s="6" t="s">
        <v>6</v>
      </c>
      <c r="C67" s="45">
        <v>133979.7463734248</v>
      </c>
      <c r="D67" s="45">
        <v>0</v>
      </c>
      <c r="E67" s="45">
        <v>0</v>
      </c>
      <c r="F67" s="67">
        <f t="shared" ref="F67:F68" si="27">IFERROR(E67-C67,0)</f>
        <v>-133979.7463734248</v>
      </c>
      <c r="G67" s="45">
        <v>21.85</v>
      </c>
      <c r="H67" s="67">
        <f t="shared" si="24"/>
        <v>-21.85</v>
      </c>
      <c r="I67" s="21">
        <f t="shared" si="25"/>
        <v>-1</v>
      </c>
      <c r="J67" s="22">
        <f t="shared" si="26"/>
        <v>-1</v>
      </c>
      <c r="K67" s="52">
        <v>0</v>
      </c>
      <c r="L67" s="67">
        <f>IFERROR(E67-K67,0)</f>
        <v>0</v>
      </c>
      <c r="M67" s="73"/>
      <c r="N67" s="74"/>
    </row>
    <row r="68" spans="1:14" s="27" customFormat="1" ht="15" customHeight="1" thickBot="1" x14ac:dyDescent="0.35">
      <c r="A68" s="5"/>
      <c r="B68" s="6" t="s">
        <v>7</v>
      </c>
      <c r="C68" s="45">
        <v>62985.054318805131</v>
      </c>
      <c r="D68" s="45">
        <v>5880.11</v>
      </c>
      <c r="E68" s="45">
        <v>5880.11</v>
      </c>
      <c r="F68" s="67">
        <f t="shared" si="27"/>
        <v>-57104.94431880513</v>
      </c>
      <c r="G68" s="45">
        <v>62860.98</v>
      </c>
      <c r="H68" s="67">
        <f t="shared" si="24"/>
        <v>-56980.87</v>
      </c>
      <c r="I68" s="21">
        <f t="shared" si="25"/>
        <v>-0.90664277321668663</v>
      </c>
      <c r="J68" s="22">
        <f t="shared" si="26"/>
        <v>-0.90645850573758158</v>
      </c>
      <c r="K68" s="52">
        <v>5880.11</v>
      </c>
      <c r="L68" s="67">
        <f>IFERROR(E68-K68,0)</f>
        <v>0</v>
      </c>
      <c r="M68" s="73"/>
      <c r="N68" s="74"/>
    </row>
    <row r="69" spans="1:14" s="27" customFormat="1" ht="5.0999999999999996" customHeight="1" thickBot="1" x14ac:dyDescent="0.35">
      <c r="A69" s="5"/>
      <c r="B69" s="6"/>
      <c r="C69" s="7"/>
      <c r="D69" s="7"/>
      <c r="E69" s="8"/>
      <c r="F69" s="67"/>
      <c r="G69" s="7"/>
      <c r="H69" s="67"/>
      <c r="I69" s="21"/>
      <c r="J69" s="21"/>
      <c r="K69" s="53"/>
      <c r="L69" s="67"/>
      <c r="M69" s="73"/>
      <c r="N69" s="74"/>
    </row>
    <row r="70" spans="1:14" s="27" customFormat="1" ht="15" customHeight="1" thickBot="1" x14ac:dyDescent="0.35">
      <c r="A70" s="5"/>
      <c r="B70" s="6" t="s">
        <v>8</v>
      </c>
      <c r="C70" s="45">
        <v>10080</v>
      </c>
      <c r="D70" s="45">
        <v>10080</v>
      </c>
      <c r="E70" s="46">
        <v>10080</v>
      </c>
      <c r="F70" s="67">
        <f>IFERROR(E70-C70,0)</f>
        <v>0</v>
      </c>
      <c r="G70" s="45">
        <v>10080</v>
      </c>
      <c r="H70" s="67">
        <f>IFERROR(E70-G70,0)</f>
        <v>0</v>
      </c>
      <c r="I70" s="23"/>
      <c r="J70" s="24"/>
      <c r="K70" s="52">
        <v>10080</v>
      </c>
      <c r="L70" s="67">
        <f>IFERROR(E70-K70,0)</f>
        <v>0</v>
      </c>
      <c r="M70" s="73"/>
      <c r="N70" s="74"/>
    </row>
    <row r="71" spans="1:14" s="27" customFormat="1" ht="15" customHeight="1" thickBot="1" x14ac:dyDescent="0.35">
      <c r="A71" s="5"/>
      <c r="B71" s="6" t="s">
        <v>9</v>
      </c>
      <c r="C71" s="45">
        <v>6845</v>
      </c>
      <c r="D71" s="45">
        <v>0</v>
      </c>
      <c r="E71" s="46">
        <v>0</v>
      </c>
      <c r="F71" s="67">
        <f>IFERROR(E71-C71,0)</f>
        <v>-6845</v>
      </c>
      <c r="G71" s="45">
        <v>0</v>
      </c>
      <c r="H71" s="67">
        <f>IFERROR(E71-G71,0)</f>
        <v>0</v>
      </c>
      <c r="I71" s="23"/>
      <c r="J71" s="24"/>
      <c r="K71" s="52">
        <v>0</v>
      </c>
      <c r="L71" s="67">
        <f>IFERROR(E71-K71,0)</f>
        <v>0</v>
      </c>
      <c r="M71" s="73"/>
      <c r="N71" s="74"/>
    </row>
    <row r="72" spans="1:14" s="38" customFormat="1" ht="15" customHeight="1" thickBot="1" x14ac:dyDescent="0.35">
      <c r="A72" s="9"/>
      <c r="B72" s="10" t="s">
        <v>10</v>
      </c>
      <c r="C72" s="11">
        <f>IFERROR(C71/C70,0)</f>
        <v>0.67906746031746035</v>
      </c>
      <c r="D72" s="11">
        <f>IFERROR(D71/D70,0)</f>
        <v>0</v>
      </c>
      <c r="E72" s="11">
        <f>IFERROR(E71/E70,0)</f>
        <v>0</v>
      </c>
      <c r="F72" s="68">
        <f>IFERROR(E72-C72,0)</f>
        <v>-0.67906746031746035</v>
      </c>
      <c r="G72" s="11">
        <f>IFERROR(G71/G70,0)</f>
        <v>0</v>
      </c>
      <c r="H72" s="68">
        <f>IFERROR(E72-G72,0)</f>
        <v>0</v>
      </c>
      <c r="I72" s="20">
        <f>IFERROR(E72/C72-1,0)</f>
        <v>-1</v>
      </c>
      <c r="J72" s="11">
        <f>IFERROR(E72/G72-1,0)</f>
        <v>0</v>
      </c>
      <c r="K72" s="12">
        <f>IFERROR(K71/K70,0)</f>
        <v>0</v>
      </c>
      <c r="L72" s="68">
        <f>IFERROR(E72-K72,0)</f>
        <v>0</v>
      </c>
      <c r="M72" s="73"/>
      <c r="N72" s="74"/>
    </row>
    <row r="73" spans="1:14" s="27" customFormat="1" ht="5.0999999999999996" customHeight="1" thickBot="1" x14ac:dyDescent="0.35">
      <c r="A73" s="5"/>
      <c r="B73" s="6"/>
      <c r="C73" s="7"/>
      <c r="D73" s="13"/>
      <c r="E73" s="14"/>
      <c r="F73" s="67"/>
      <c r="G73" s="13"/>
      <c r="H73" s="67"/>
      <c r="I73" s="21"/>
      <c r="J73" s="22"/>
      <c r="K73" s="54"/>
      <c r="L73" s="67"/>
      <c r="M73" s="73"/>
      <c r="N73" s="74"/>
    </row>
    <row r="74" spans="1:14" s="27" customFormat="1" ht="15" customHeight="1" thickBot="1" x14ac:dyDescent="0.35">
      <c r="A74" s="5"/>
      <c r="B74" s="6" t="s">
        <v>11</v>
      </c>
      <c r="C74" s="45">
        <v>11642.249999999996</v>
      </c>
      <c r="D74" s="45">
        <v>0</v>
      </c>
      <c r="E74" s="46">
        <v>0</v>
      </c>
      <c r="F74" s="67">
        <f>IFERROR(E74-C74,0)</f>
        <v>-11642.249999999996</v>
      </c>
      <c r="G74" s="45">
        <v>0</v>
      </c>
      <c r="H74" s="67">
        <f>IFERROR(E74-G74,0)</f>
        <v>0</v>
      </c>
      <c r="I74" s="21"/>
      <c r="J74" s="22"/>
      <c r="K74" s="52">
        <v>0</v>
      </c>
      <c r="L74" s="67">
        <f>IFERROR(E74-K74,0)</f>
        <v>0</v>
      </c>
      <c r="M74" s="73"/>
      <c r="N74" s="74"/>
    </row>
    <row r="75" spans="1:14" s="27" customFormat="1" ht="15" customHeight="1" thickBot="1" x14ac:dyDescent="0.35">
      <c r="A75" s="5"/>
      <c r="B75" s="6" t="s">
        <v>12</v>
      </c>
      <c r="C75" s="15">
        <f>IFERROR(C74/C71,0)</f>
        <v>1.7008400292184072</v>
      </c>
      <c r="D75" s="15">
        <f>IFERROR(D74/D71,0)</f>
        <v>0</v>
      </c>
      <c r="E75" s="15">
        <f>IFERROR(E74/E71,0)</f>
        <v>0</v>
      </c>
      <c r="F75" s="69">
        <f>IFERROR(E75-C75,0)</f>
        <v>-1.7008400292184072</v>
      </c>
      <c r="G75" s="15">
        <f>IFERROR(G74/G71,0)</f>
        <v>0</v>
      </c>
      <c r="H75" s="69">
        <f>IFERROR(E75-G75,0)</f>
        <v>0</v>
      </c>
      <c r="I75" s="21"/>
      <c r="J75" s="22"/>
      <c r="K75" s="55">
        <f>IFERROR(K74/K71,0)</f>
        <v>0</v>
      </c>
      <c r="L75" s="69">
        <f>IFERROR(E75-K75,0)</f>
        <v>0</v>
      </c>
      <c r="M75" s="73"/>
      <c r="N75" s="74"/>
    </row>
    <row r="76" spans="1:14" s="27" customFormat="1" ht="5.0999999999999996" customHeight="1" thickBot="1" x14ac:dyDescent="0.35">
      <c r="A76" s="5"/>
      <c r="B76" s="6"/>
      <c r="C76" s="7"/>
      <c r="D76" s="13"/>
      <c r="E76" s="14"/>
      <c r="F76" s="69"/>
      <c r="G76" s="13"/>
      <c r="H76" s="69"/>
      <c r="I76" s="21"/>
      <c r="J76" s="22"/>
      <c r="K76" s="54"/>
      <c r="L76" s="69"/>
      <c r="M76" s="73"/>
      <c r="N76" s="74"/>
    </row>
    <row r="77" spans="1:14" s="27" customFormat="1" ht="15" customHeight="1" thickBot="1" x14ac:dyDescent="0.35">
      <c r="A77" s="5"/>
      <c r="B77" s="6" t="s">
        <v>13</v>
      </c>
      <c r="C77" s="15">
        <f>IFERROR(C66/C71,0)</f>
        <v>94.965878363259733</v>
      </c>
      <c r="D77" s="15">
        <f>IFERROR(D66/D71,0)</f>
        <v>0</v>
      </c>
      <c r="E77" s="15">
        <f>IFERROR(E66/E71,0)</f>
        <v>0</v>
      </c>
      <c r="F77" s="69">
        <f>IFERROR(E77-C77,0)</f>
        <v>-94.965878363259733</v>
      </c>
      <c r="G77" s="15">
        <f>IFERROR(G66/G71,0)</f>
        <v>0</v>
      </c>
      <c r="H77" s="69">
        <f>IFERROR(E77-G77,0)</f>
        <v>0</v>
      </c>
      <c r="I77" s="21">
        <f>IFERROR(E77/C77-1,0)</f>
        <v>-1</v>
      </c>
      <c r="J77" s="22">
        <f>IFERROR(E77/G77-1,0)</f>
        <v>0</v>
      </c>
      <c r="K77" s="55">
        <f>IFERROR(K66/K71,0)</f>
        <v>0</v>
      </c>
      <c r="L77" s="69">
        <f>IFERROR(E77-K77,0)</f>
        <v>0</v>
      </c>
      <c r="M77" s="73"/>
      <c r="N77" s="74"/>
    </row>
    <row r="78" spans="1:14" s="38" customFormat="1" ht="15" customHeight="1" thickBot="1" x14ac:dyDescent="0.35">
      <c r="A78" s="9"/>
      <c r="B78" s="10" t="s">
        <v>14</v>
      </c>
      <c r="C78" s="16">
        <f>IFERROR(C66/C70,0)</f>
        <v>64.488237836955633</v>
      </c>
      <c r="D78" s="16">
        <f>IFERROR(D66/D70,0)</f>
        <v>-6.4484126984126991E-5</v>
      </c>
      <c r="E78" s="16">
        <f>IFERROR(E66/E70,0)</f>
        <v>-6.4484126984126991E-5</v>
      </c>
      <c r="F78" s="70">
        <f t="shared" ref="F78:F79" si="28">IFERROR(E78-C78,0)</f>
        <v>-64.488302321082614</v>
      </c>
      <c r="G78" s="16">
        <f>IFERROR(G66/G70,0)</f>
        <v>-6.4807539682539675E-2</v>
      </c>
      <c r="H78" s="70">
        <f t="shared" ref="H78:H79" si="29">IFERROR(E78-G78,0)</f>
        <v>6.4743055555555554E-2</v>
      </c>
      <c r="I78" s="20">
        <f>IFERROR(E78/C78-1,0)</f>
        <v>-1.0000009999362542</v>
      </c>
      <c r="J78" s="11">
        <f>IFERROR(E78/G78-1,0)</f>
        <v>-0.99900499035606039</v>
      </c>
      <c r="K78" s="56">
        <f>IFERROR(K66/K70,0)</f>
        <v>-6.4484126984126991E-5</v>
      </c>
      <c r="L78" s="70">
        <f>IFERROR(E78-K78,0)</f>
        <v>0</v>
      </c>
      <c r="M78" s="73"/>
      <c r="N78" s="74"/>
    </row>
    <row r="79" spans="1:14" ht="15" customHeight="1" thickBot="1" x14ac:dyDescent="0.35">
      <c r="A79" s="17"/>
      <c r="B79" s="18" t="s">
        <v>34</v>
      </c>
      <c r="C79" s="19">
        <f>IFERROR(C65/C71,0)</f>
        <v>123.74086750748616</v>
      </c>
      <c r="D79" s="19">
        <f>IFERROR(D65/D71,0)</f>
        <v>0</v>
      </c>
      <c r="E79" s="19">
        <f>IFERROR(E65/E71,0)</f>
        <v>0</v>
      </c>
      <c r="F79" s="72">
        <f t="shared" si="28"/>
        <v>-123.74086750748616</v>
      </c>
      <c r="G79" s="19">
        <f>IFERROR(G65/G71,0)</f>
        <v>0</v>
      </c>
      <c r="H79" s="72">
        <f t="shared" si="29"/>
        <v>0</v>
      </c>
      <c r="I79" s="25">
        <f>IFERROR(E79/C79-1,0)</f>
        <v>-1</v>
      </c>
      <c r="J79" s="26">
        <f>IFERROR(E79/G79-1,0)</f>
        <v>0</v>
      </c>
      <c r="K79" s="57">
        <f>IFERROR(K65/K71,0)</f>
        <v>0</v>
      </c>
      <c r="L79" s="72">
        <f>IFERROR(E79-K79,0)</f>
        <v>0</v>
      </c>
      <c r="M79" s="73"/>
      <c r="N79" s="74"/>
    </row>
    <row r="80" spans="1:14" s="27" customFormat="1" ht="15" customHeight="1" thickBot="1" x14ac:dyDescent="0.35">
      <c r="A80" s="1"/>
      <c r="B80" s="2" t="s">
        <v>25</v>
      </c>
      <c r="C80" s="3">
        <f>SUM(C81:C83)</f>
        <v>1107081.0218184816</v>
      </c>
      <c r="D80" s="3">
        <f>SUM(D81:D83)</f>
        <v>56953.689999999988</v>
      </c>
      <c r="E80" s="4">
        <f>SUM(E81:E83)</f>
        <v>56953.689999999988</v>
      </c>
      <c r="F80" s="71">
        <f>IFERROR(SUM(F81:F83),0)</f>
        <v>-1050127.3318184814</v>
      </c>
      <c r="G80" s="3">
        <f>SUM(G81:G83)</f>
        <v>70555.73000000001</v>
      </c>
      <c r="H80" s="71">
        <f>IFERROR(E80-G80,0)</f>
        <v>-13602.040000000023</v>
      </c>
      <c r="I80" s="20">
        <f>IFERROR(E80/C80-1,0)</f>
        <v>-0.94855508415594703</v>
      </c>
      <c r="J80" s="11">
        <f>IFERROR(E80/G80-1,0)</f>
        <v>-0.19278434224973673</v>
      </c>
      <c r="K80" s="51">
        <f>SUM(K81:K83)</f>
        <v>56953.69</v>
      </c>
      <c r="L80" s="71">
        <f>IFERROR(SUM(L81:L83),0)</f>
        <v>-1.0913936421275139E-11</v>
      </c>
      <c r="M80" s="73"/>
      <c r="N80" s="74"/>
    </row>
    <row r="81" spans="1:14" s="27" customFormat="1" ht="15" customHeight="1" thickBot="1" x14ac:dyDescent="0.35">
      <c r="A81" s="5"/>
      <c r="B81" s="6" t="s">
        <v>5</v>
      </c>
      <c r="C81" s="45">
        <v>793602.85833385959</v>
      </c>
      <c r="D81" s="45">
        <v>179.31</v>
      </c>
      <c r="E81" s="45">
        <v>179.31</v>
      </c>
      <c r="F81" s="67">
        <f>IFERROR(E81-C81,0)</f>
        <v>-793423.54833385954</v>
      </c>
      <c r="G81" s="45">
        <v>41544.15</v>
      </c>
      <c r="H81" s="67">
        <f t="shared" ref="H81:H83" si="30">IFERROR(E81-G81,0)</f>
        <v>-41364.840000000004</v>
      </c>
      <c r="I81" s="21">
        <f t="shared" ref="I81:I83" si="31">IFERROR(E81/C81-1,0)</f>
        <v>-0.99977405575330658</v>
      </c>
      <c r="J81" s="22">
        <f t="shared" ref="J81:J83" si="32">IFERROR(E81/G81-1,0)</f>
        <v>-0.99568386884796056</v>
      </c>
      <c r="K81" s="52">
        <v>179.31</v>
      </c>
      <c r="L81" s="67">
        <f>IFERROR(E81-K81,0)</f>
        <v>0</v>
      </c>
      <c r="M81" s="73"/>
      <c r="N81" s="74"/>
    </row>
    <row r="82" spans="1:14" s="27" customFormat="1" ht="15" customHeight="1" thickBot="1" x14ac:dyDescent="0.35">
      <c r="A82" s="5"/>
      <c r="B82" s="6" t="s">
        <v>6</v>
      </c>
      <c r="C82" s="45">
        <v>199341.34539140871</v>
      </c>
      <c r="D82" s="45">
        <v>24270.39</v>
      </c>
      <c r="E82" s="45">
        <v>24270.39</v>
      </c>
      <c r="F82" s="67">
        <f t="shared" ref="F82:F83" si="33">IFERROR(E82-C82,0)</f>
        <v>-175070.9553914087</v>
      </c>
      <c r="G82" s="45">
        <v>22026.68</v>
      </c>
      <c r="H82" s="67">
        <f t="shared" si="30"/>
        <v>2243.7099999999991</v>
      </c>
      <c r="I82" s="21">
        <f t="shared" si="31"/>
        <v>-0.87824708440517019</v>
      </c>
      <c r="J82" s="22">
        <f t="shared" si="32"/>
        <v>0.10186328579704251</v>
      </c>
      <c r="K82" s="52">
        <v>24270.39</v>
      </c>
      <c r="L82" s="67">
        <f>IFERROR(E82-K82,0)</f>
        <v>0</v>
      </c>
      <c r="M82" s="73"/>
      <c r="N82" s="74"/>
    </row>
    <row r="83" spans="1:14" s="27" customFormat="1" ht="15" customHeight="1" thickBot="1" x14ac:dyDescent="0.35">
      <c r="A83" s="5"/>
      <c r="B83" s="6" t="s">
        <v>7</v>
      </c>
      <c r="C83" s="45">
        <v>114136.81809321335</v>
      </c>
      <c r="D83" s="45">
        <v>32503.989999999991</v>
      </c>
      <c r="E83" s="45">
        <v>32503.989999999991</v>
      </c>
      <c r="F83" s="67">
        <f t="shared" si="33"/>
        <v>-81632.828093213364</v>
      </c>
      <c r="G83" s="45">
        <v>6984.9000000000015</v>
      </c>
      <c r="H83" s="67">
        <f t="shared" si="30"/>
        <v>25519.089999999989</v>
      </c>
      <c r="I83" s="21">
        <f t="shared" si="31"/>
        <v>-0.71521906302439064</v>
      </c>
      <c r="J83" s="22">
        <f t="shared" si="32"/>
        <v>3.6534653323598025</v>
      </c>
      <c r="K83" s="52">
        <v>32503.99</v>
      </c>
      <c r="L83" s="67">
        <f>IFERROR(E83-K83,0)</f>
        <v>-1.0913936421275139E-11</v>
      </c>
      <c r="M83" s="73"/>
      <c r="N83" s="74"/>
    </row>
    <row r="84" spans="1:14" s="27" customFormat="1" ht="5.0999999999999996" customHeight="1" thickBot="1" x14ac:dyDescent="0.35">
      <c r="A84" s="5"/>
      <c r="B84" s="6"/>
      <c r="C84" s="7"/>
      <c r="D84" s="7"/>
      <c r="E84" s="8"/>
      <c r="F84" s="67"/>
      <c r="G84" s="7"/>
      <c r="H84" s="67"/>
      <c r="I84" s="21"/>
      <c r="J84" s="21"/>
      <c r="K84" s="53"/>
      <c r="L84" s="67"/>
      <c r="M84" s="73"/>
      <c r="N84" s="74"/>
    </row>
    <row r="85" spans="1:14" s="27" customFormat="1" ht="15" customHeight="1" thickBot="1" x14ac:dyDescent="0.35">
      <c r="A85" s="5"/>
      <c r="B85" s="6" t="s">
        <v>8</v>
      </c>
      <c r="C85" s="45">
        <v>10416</v>
      </c>
      <c r="D85" s="45">
        <v>10416</v>
      </c>
      <c r="E85" s="46">
        <v>10416</v>
      </c>
      <c r="F85" s="67">
        <f>IFERROR(E85-C85,0)</f>
        <v>0</v>
      </c>
      <c r="G85" s="45">
        <v>10416</v>
      </c>
      <c r="H85" s="67">
        <f>IFERROR(E85-G85,0)</f>
        <v>0</v>
      </c>
      <c r="I85" s="23"/>
      <c r="J85" s="24"/>
      <c r="K85" s="52">
        <v>10416</v>
      </c>
      <c r="L85" s="67">
        <f>IFERROR(E85-K85,0)</f>
        <v>0</v>
      </c>
      <c r="M85" s="73"/>
      <c r="N85" s="74"/>
    </row>
    <row r="86" spans="1:14" s="27" customFormat="1" ht="15" customHeight="1" thickBot="1" x14ac:dyDescent="0.35">
      <c r="A86" s="5"/>
      <c r="B86" s="6" t="s">
        <v>9</v>
      </c>
      <c r="C86" s="45">
        <v>7749</v>
      </c>
      <c r="D86" s="45">
        <v>0</v>
      </c>
      <c r="E86" s="46">
        <v>0</v>
      </c>
      <c r="F86" s="67">
        <f>IFERROR(E86-C86,0)</f>
        <v>-7749</v>
      </c>
      <c r="G86" s="45">
        <v>470</v>
      </c>
      <c r="H86" s="67">
        <f>IFERROR(E86-G86,0)</f>
        <v>-470</v>
      </c>
      <c r="I86" s="23"/>
      <c r="J86" s="24"/>
      <c r="K86" s="52">
        <v>0</v>
      </c>
      <c r="L86" s="67">
        <f>IFERROR(E86-K86,0)</f>
        <v>0</v>
      </c>
      <c r="M86" s="73"/>
      <c r="N86" s="74"/>
    </row>
    <row r="87" spans="1:14" s="38" customFormat="1" ht="15" customHeight="1" thickBot="1" x14ac:dyDescent="0.35">
      <c r="A87" s="9"/>
      <c r="B87" s="10" t="s">
        <v>10</v>
      </c>
      <c r="C87" s="11">
        <f>IFERROR(C86/C85,0)</f>
        <v>0.74395161290322576</v>
      </c>
      <c r="D87" s="11">
        <f>IFERROR(D86/D85,0)</f>
        <v>0</v>
      </c>
      <c r="E87" s="11">
        <f>IFERROR(E86/E85,0)</f>
        <v>0</v>
      </c>
      <c r="F87" s="68">
        <f>IFERROR(E87-C87,0)</f>
        <v>-0.74395161290322576</v>
      </c>
      <c r="G87" s="11">
        <f>IFERROR(G86/G85,0)</f>
        <v>4.5122887864823345E-2</v>
      </c>
      <c r="H87" s="68">
        <f>IFERROR(E87-G87,0)</f>
        <v>-4.5122887864823345E-2</v>
      </c>
      <c r="I87" s="20">
        <f>IFERROR(E87/C87-1,0)</f>
        <v>-1</v>
      </c>
      <c r="J87" s="11">
        <f>IFERROR(E87/G87-1,0)</f>
        <v>-1</v>
      </c>
      <c r="K87" s="12">
        <f>IFERROR(K86/K85,0)</f>
        <v>0</v>
      </c>
      <c r="L87" s="68">
        <f>IFERROR(E87-K87,0)</f>
        <v>0</v>
      </c>
      <c r="M87" s="73"/>
      <c r="N87" s="74"/>
    </row>
    <row r="88" spans="1:14" s="27" customFormat="1" ht="5.0999999999999996" customHeight="1" thickBot="1" x14ac:dyDescent="0.35">
      <c r="A88" s="5"/>
      <c r="B88" s="6"/>
      <c r="C88" s="7"/>
      <c r="D88" s="13"/>
      <c r="E88" s="14"/>
      <c r="F88" s="67"/>
      <c r="G88" s="13"/>
      <c r="H88" s="67"/>
      <c r="I88" s="21"/>
      <c r="J88" s="22"/>
      <c r="K88" s="54"/>
      <c r="L88" s="67"/>
      <c r="M88" s="73"/>
      <c r="N88" s="74"/>
    </row>
    <row r="89" spans="1:14" s="27" customFormat="1" ht="15" customHeight="1" thickBot="1" x14ac:dyDescent="0.35">
      <c r="A89" s="5"/>
      <c r="B89" s="6" t="s">
        <v>11</v>
      </c>
      <c r="C89" s="45">
        <v>12555.840000000002</v>
      </c>
      <c r="D89" s="45">
        <v>0</v>
      </c>
      <c r="E89" s="46">
        <v>0</v>
      </c>
      <c r="F89" s="67">
        <f>IFERROR(E89-C89,0)</f>
        <v>-12555.840000000002</v>
      </c>
      <c r="G89" s="45">
        <v>659</v>
      </c>
      <c r="H89" s="67">
        <f>IFERROR(E89-G89,0)</f>
        <v>-659</v>
      </c>
      <c r="I89" s="21"/>
      <c r="J89" s="22"/>
      <c r="K89" s="52">
        <v>0</v>
      </c>
      <c r="L89" s="67">
        <f>IFERROR(E89-K89,0)</f>
        <v>0</v>
      </c>
      <c r="M89" s="73"/>
      <c r="N89" s="74"/>
    </row>
    <row r="90" spans="1:14" s="27" customFormat="1" ht="15" customHeight="1" thickBot="1" x14ac:dyDescent="0.35">
      <c r="A90" s="5"/>
      <c r="B90" s="6" t="s">
        <v>12</v>
      </c>
      <c r="C90" s="15">
        <f>IFERROR(C89/C86,0)</f>
        <v>1.6203174603174606</v>
      </c>
      <c r="D90" s="15">
        <f>IFERROR(D89/D86,0)</f>
        <v>0</v>
      </c>
      <c r="E90" s="15">
        <f>IFERROR(E89/E86,0)</f>
        <v>0</v>
      </c>
      <c r="F90" s="69">
        <f>IFERROR(E90-C90,0)</f>
        <v>-1.6203174603174606</v>
      </c>
      <c r="G90" s="15">
        <f>IFERROR(G89/G86,0)</f>
        <v>1.4021276595744681</v>
      </c>
      <c r="H90" s="69">
        <f>IFERROR(E90-G90,0)</f>
        <v>-1.4021276595744681</v>
      </c>
      <c r="I90" s="21"/>
      <c r="J90" s="22"/>
      <c r="K90" s="55">
        <f>IFERROR(K89/K86,0)</f>
        <v>0</v>
      </c>
      <c r="L90" s="69">
        <f>IFERROR(E90-K90,0)</f>
        <v>0</v>
      </c>
      <c r="M90" s="73"/>
      <c r="N90" s="74"/>
    </row>
    <row r="91" spans="1:14" s="27" customFormat="1" ht="5.0999999999999996" customHeight="1" thickBot="1" x14ac:dyDescent="0.35">
      <c r="A91" s="5"/>
      <c r="B91" s="6"/>
      <c r="C91" s="7"/>
      <c r="D91" s="13"/>
      <c r="E91" s="14"/>
      <c r="F91" s="69"/>
      <c r="G91" s="13"/>
      <c r="H91" s="69"/>
      <c r="I91" s="21"/>
      <c r="J91" s="22"/>
      <c r="K91" s="54"/>
      <c r="L91" s="69"/>
      <c r="M91" s="73"/>
      <c r="N91" s="74"/>
    </row>
    <row r="92" spans="1:14" s="27" customFormat="1" ht="15" customHeight="1" thickBot="1" x14ac:dyDescent="0.35">
      <c r="A92" s="5"/>
      <c r="B92" s="6" t="s">
        <v>13</v>
      </c>
      <c r="C92" s="15">
        <f>IFERROR(C81/C86,0)</f>
        <v>102.41358347320423</v>
      </c>
      <c r="D92" s="15">
        <f>IFERROR(D81/D86,0)</f>
        <v>0</v>
      </c>
      <c r="E92" s="15">
        <f>IFERROR(E81/E86,0)</f>
        <v>0</v>
      </c>
      <c r="F92" s="69">
        <f>IFERROR(E92-C92,0)</f>
        <v>-102.41358347320423</v>
      </c>
      <c r="G92" s="15">
        <f>IFERROR(G81/G86,0)</f>
        <v>88.391808510638299</v>
      </c>
      <c r="H92" s="69">
        <f>IFERROR(E92-G92,0)</f>
        <v>-88.391808510638299</v>
      </c>
      <c r="I92" s="21">
        <f>IFERROR(E92/C92-1,0)</f>
        <v>-1</v>
      </c>
      <c r="J92" s="22">
        <f>IFERROR(E92/G92-1,0)</f>
        <v>-1</v>
      </c>
      <c r="K92" s="55">
        <f>IFERROR(K81/K86,0)</f>
        <v>0</v>
      </c>
      <c r="L92" s="69">
        <f>IFERROR(E92-K92,0)</f>
        <v>0</v>
      </c>
      <c r="M92" s="73"/>
      <c r="N92" s="74"/>
    </row>
    <row r="93" spans="1:14" s="38" customFormat="1" ht="15" customHeight="1" thickBot="1" x14ac:dyDescent="0.35">
      <c r="A93" s="9"/>
      <c r="B93" s="10" t="s">
        <v>14</v>
      </c>
      <c r="C93" s="16">
        <f>IFERROR(C81/C85,0)</f>
        <v>76.190750608089445</v>
      </c>
      <c r="D93" s="16">
        <f>IFERROR(D81/D85,0)</f>
        <v>1.7214861751152073E-2</v>
      </c>
      <c r="E93" s="16">
        <f>IFERROR(E81/E85,0)</f>
        <v>1.7214861751152073E-2</v>
      </c>
      <c r="F93" s="70">
        <f t="shared" ref="F93:F94" si="34">IFERROR(E93-C93,0)</f>
        <v>-76.173535746338288</v>
      </c>
      <c r="G93" s="16">
        <f>IFERROR(G81/G85,0)</f>
        <v>3.9884936635944701</v>
      </c>
      <c r="H93" s="70">
        <f t="shared" ref="H93:H94" si="35">IFERROR(E93-G93,0)</f>
        <v>-3.9712788018433178</v>
      </c>
      <c r="I93" s="20">
        <f>IFERROR(E93/C93-1,0)</f>
        <v>-0.99977405575330658</v>
      </c>
      <c r="J93" s="11">
        <f>IFERROR(E93/G93-1,0)</f>
        <v>-0.99568386884796056</v>
      </c>
      <c r="K93" s="56">
        <f>IFERROR(K81/K85,0)</f>
        <v>1.7214861751152073E-2</v>
      </c>
      <c r="L93" s="70">
        <f>IFERROR(E93-K93,0)</f>
        <v>0</v>
      </c>
      <c r="M93" s="73"/>
      <c r="N93" s="74"/>
    </row>
    <row r="94" spans="1:14" ht="15" customHeight="1" thickBot="1" x14ac:dyDescent="0.35">
      <c r="A94" s="17"/>
      <c r="B94" s="18" t="s">
        <v>34</v>
      </c>
      <c r="C94" s="19">
        <f>IFERROR(C80/C86,0)</f>
        <v>142.86759863446659</v>
      </c>
      <c r="D94" s="19">
        <f>IFERROR(D80/D86,0)</f>
        <v>0</v>
      </c>
      <c r="E94" s="19">
        <f>IFERROR(E80/E86,0)</f>
        <v>0</v>
      </c>
      <c r="F94" s="72">
        <f t="shared" si="34"/>
        <v>-142.86759863446659</v>
      </c>
      <c r="G94" s="19">
        <f>IFERROR(G80/G86,0)</f>
        <v>150.11857446808514</v>
      </c>
      <c r="H94" s="72">
        <f t="shared" si="35"/>
        <v>-150.11857446808514</v>
      </c>
      <c r="I94" s="25">
        <f>IFERROR(E94/C94-1,0)</f>
        <v>-1</v>
      </c>
      <c r="J94" s="26">
        <f>IFERROR(E94/G94-1,0)</f>
        <v>-1</v>
      </c>
      <c r="K94" s="57">
        <f>IFERROR(K80/K86,0)</f>
        <v>0</v>
      </c>
      <c r="L94" s="72">
        <f>IFERROR(E94-K94,0)</f>
        <v>0</v>
      </c>
      <c r="M94" s="73"/>
      <c r="N94" s="74"/>
    </row>
    <row r="95" spans="1:14" s="27" customFormat="1" ht="15" customHeight="1" thickBot="1" x14ac:dyDescent="0.35">
      <c r="A95" s="1"/>
      <c r="B95" s="2" t="s">
        <v>26</v>
      </c>
      <c r="C95" s="3">
        <f>SUM(C96:C98)</f>
        <v>1232782.8145984102</v>
      </c>
      <c r="D95" s="3">
        <f>SUM(D96:D98)</f>
        <v>193274.66999999998</v>
      </c>
      <c r="E95" s="4">
        <f>SUM(E96:E98)</f>
        <v>193274.66999999998</v>
      </c>
      <c r="F95" s="71">
        <f>IFERROR(SUM(F96:F98),0)</f>
        <v>-1039508.1445984099</v>
      </c>
      <c r="G95" s="3">
        <f>SUM(G96:G98)</f>
        <v>201007.06</v>
      </c>
      <c r="H95" s="71">
        <f>IFERROR(E95-G95,0)</f>
        <v>-7732.390000000014</v>
      </c>
      <c r="I95" s="20">
        <f>IFERROR(E95/C95-1,0)</f>
        <v>-0.84322082713088364</v>
      </c>
      <c r="J95" s="11">
        <f>IFERROR(E95/G95-1,0)</f>
        <v>-3.8468250816662941E-2</v>
      </c>
      <c r="K95" s="51">
        <f>SUM(K96:K98)</f>
        <v>193274.66999999995</v>
      </c>
      <c r="L95" s="71">
        <f>IFERROR(SUM(L96:L98),0)</f>
        <v>1.4551915228366852E-11</v>
      </c>
      <c r="M95" s="73"/>
      <c r="N95" s="74"/>
    </row>
    <row r="96" spans="1:14" s="27" customFormat="1" ht="15" customHeight="1" thickBot="1" x14ac:dyDescent="0.35">
      <c r="A96" s="5"/>
      <c r="B96" s="6" t="s">
        <v>5</v>
      </c>
      <c r="C96" s="45">
        <v>827025.53554320033</v>
      </c>
      <c r="D96" s="45">
        <v>99803.119999999981</v>
      </c>
      <c r="E96" s="45">
        <v>99803.119999999981</v>
      </c>
      <c r="F96" s="67">
        <f>IFERROR(E96-C96,0)</f>
        <v>-727222.41554320033</v>
      </c>
      <c r="G96" s="45">
        <v>126974.64</v>
      </c>
      <c r="H96" s="67">
        <f t="shared" ref="H96:H98" si="36">IFERROR(E96-G96,0)</f>
        <v>-27171.520000000019</v>
      </c>
      <c r="I96" s="21">
        <f t="shared" ref="I96:I98" si="37">IFERROR(E96/C96-1,0)</f>
        <v>-0.87932280720395406</v>
      </c>
      <c r="J96" s="22">
        <f t="shared" ref="J96:J98" si="38">IFERROR(E96/G96-1,0)</f>
        <v>-0.21399170732045403</v>
      </c>
      <c r="K96" s="52">
        <v>99803.119999999981</v>
      </c>
      <c r="L96" s="67">
        <f>IFERROR(E96-K96,0)</f>
        <v>0</v>
      </c>
      <c r="M96" s="73"/>
      <c r="N96" s="74"/>
    </row>
    <row r="97" spans="1:14" s="27" customFormat="1" ht="15" customHeight="1" thickBot="1" x14ac:dyDescent="0.35">
      <c r="A97" s="5"/>
      <c r="B97" s="6" t="s">
        <v>6</v>
      </c>
      <c r="C97" s="45">
        <v>251644.42956297391</v>
      </c>
      <c r="D97" s="45">
        <v>42794.840000000011</v>
      </c>
      <c r="E97" s="45">
        <v>42794.840000000011</v>
      </c>
      <c r="F97" s="67">
        <f t="shared" ref="F97:F98" si="39">IFERROR(E97-C97,0)</f>
        <v>-208849.58956297388</v>
      </c>
      <c r="G97" s="45">
        <v>31063.53</v>
      </c>
      <c r="H97" s="67">
        <f t="shared" si="36"/>
        <v>11731.310000000012</v>
      </c>
      <c r="I97" s="21">
        <f t="shared" si="37"/>
        <v>-0.82993925168810212</v>
      </c>
      <c r="J97" s="22">
        <f t="shared" si="38"/>
        <v>0.37765540490729843</v>
      </c>
      <c r="K97" s="52">
        <v>42794.84</v>
      </c>
      <c r="L97" s="67">
        <f>IFERROR(E97-K97,0)</f>
        <v>1.4551915228366852E-11</v>
      </c>
      <c r="M97" s="73"/>
      <c r="N97" s="74"/>
    </row>
    <row r="98" spans="1:14" s="27" customFormat="1" ht="15" customHeight="1" thickBot="1" x14ac:dyDescent="0.35">
      <c r="A98" s="5"/>
      <c r="B98" s="6" t="s">
        <v>7</v>
      </c>
      <c r="C98" s="45">
        <v>154112.84949223572</v>
      </c>
      <c r="D98" s="45">
        <v>50676.71</v>
      </c>
      <c r="E98" s="45">
        <v>50676.71</v>
      </c>
      <c r="F98" s="67">
        <f t="shared" si="39"/>
        <v>-103436.13949223573</v>
      </c>
      <c r="G98" s="45">
        <v>42968.89</v>
      </c>
      <c r="H98" s="67">
        <f t="shared" si="36"/>
        <v>7707.82</v>
      </c>
      <c r="I98" s="21">
        <f t="shared" si="37"/>
        <v>-0.67117141648494982</v>
      </c>
      <c r="J98" s="22">
        <f t="shared" si="38"/>
        <v>0.1793814082700298</v>
      </c>
      <c r="K98" s="52">
        <v>50676.71</v>
      </c>
      <c r="L98" s="67">
        <f>IFERROR(E98-K98,0)</f>
        <v>0</v>
      </c>
      <c r="M98" s="73"/>
      <c r="N98" s="74"/>
    </row>
    <row r="99" spans="1:14" s="27" customFormat="1" ht="5.0999999999999996" customHeight="1" thickBot="1" x14ac:dyDescent="0.35">
      <c r="A99" s="5"/>
      <c r="B99" s="6"/>
      <c r="C99" s="7"/>
      <c r="D99" s="7"/>
      <c r="E99" s="8"/>
      <c r="F99" s="67"/>
      <c r="G99" s="7"/>
      <c r="H99" s="67"/>
      <c r="I99" s="21"/>
      <c r="J99" s="21"/>
      <c r="K99" s="53"/>
      <c r="L99" s="67"/>
      <c r="M99" s="73"/>
      <c r="N99" s="74"/>
    </row>
    <row r="100" spans="1:14" s="27" customFormat="1" ht="15" customHeight="1" thickBot="1" x14ac:dyDescent="0.35">
      <c r="A100" s="5"/>
      <c r="B100" s="6" t="s">
        <v>8</v>
      </c>
      <c r="C100" s="45">
        <v>10080</v>
      </c>
      <c r="D100" s="45">
        <v>10080</v>
      </c>
      <c r="E100" s="46">
        <v>10080</v>
      </c>
      <c r="F100" s="67">
        <f>IFERROR(E100-C100,0)</f>
        <v>0</v>
      </c>
      <c r="G100" s="45">
        <v>10080</v>
      </c>
      <c r="H100" s="67">
        <f>IFERROR(E100-G100,0)</f>
        <v>0</v>
      </c>
      <c r="I100" s="23"/>
      <c r="J100" s="24"/>
      <c r="K100" s="52">
        <v>10080</v>
      </c>
      <c r="L100" s="67">
        <f>IFERROR(E100-K100,0)</f>
        <v>0</v>
      </c>
      <c r="M100" s="73"/>
      <c r="N100" s="74"/>
    </row>
    <row r="101" spans="1:14" s="27" customFormat="1" ht="15" customHeight="1" thickBot="1" x14ac:dyDescent="0.35">
      <c r="A101" s="5"/>
      <c r="B101" s="6" t="s">
        <v>9</v>
      </c>
      <c r="C101" s="45">
        <v>7735</v>
      </c>
      <c r="D101" s="45">
        <v>1483</v>
      </c>
      <c r="E101" s="46">
        <v>1483</v>
      </c>
      <c r="F101" s="67">
        <f>IFERROR(E101-C101,0)</f>
        <v>-6252</v>
      </c>
      <c r="G101" s="45">
        <v>1675</v>
      </c>
      <c r="H101" s="67">
        <f>IFERROR(E101-G101,0)</f>
        <v>-192</v>
      </c>
      <c r="I101" s="23"/>
      <c r="J101" s="24"/>
      <c r="K101" s="52">
        <v>1483</v>
      </c>
      <c r="L101" s="67">
        <f>IFERROR(E101-K101,0)</f>
        <v>0</v>
      </c>
      <c r="M101" s="73"/>
      <c r="N101" s="74"/>
    </row>
    <row r="102" spans="1:14" s="38" customFormat="1" ht="15" customHeight="1" thickBot="1" x14ac:dyDescent="0.35">
      <c r="A102" s="9"/>
      <c r="B102" s="10" t="s">
        <v>10</v>
      </c>
      <c r="C102" s="11">
        <f>IFERROR(C101/C100,0)</f>
        <v>0.76736111111111116</v>
      </c>
      <c r="D102" s="11">
        <f>IFERROR(D101/D100,0)</f>
        <v>0.14712301587301588</v>
      </c>
      <c r="E102" s="11">
        <f>IFERROR(E101/E100,0)</f>
        <v>0.14712301587301588</v>
      </c>
      <c r="F102" s="68">
        <f>IFERROR(E102-C102,0)</f>
        <v>-0.62023809523809526</v>
      </c>
      <c r="G102" s="11">
        <f>IFERROR(G101/G100,0)</f>
        <v>0.16617063492063491</v>
      </c>
      <c r="H102" s="68">
        <f>IFERROR(E102-G102,0)</f>
        <v>-1.9047619047619035E-2</v>
      </c>
      <c r="I102" s="20">
        <f>IFERROR(E102/C102-1,0)</f>
        <v>-0.80827407886231417</v>
      </c>
      <c r="J102" s="11">
        <f>IFERROR(E102/G102-1,0)</f>
        <v>-0.11462686567164171</v>
      </c>
      <c r="K102" s="12">
        <f>IFERROR(K101/K100,0)</f>
        <v>0.14712301587301588</v>
      </c>
      <c r="L102" s="68">
        <f>IFERROR(E102-K102,0)</f>
        <v>0</v>
      </c>
      <c r="M102" s="73"/>
      <c r="N102" s="74"/>
    </row>
    <row r="103" spans="1:14" s="27" customFormat="1" ht="5.0999999999999996" customHeight="1" thickBot="1" x14ac:dyDescent="0.35">
      <c r="A103" s="5"/>
      <c r="B103" s="6"/>
      <c r="C103" s="7"/>
      <c r="D103" s="13"/>
      <c r="E103" s="14"/>
      <c r="F103" s="67"/>
      <c r="G103" s="13"/>
      <c r="H103" s="67"/>
      <c r="I103" s="21"/>
      <c r="J103" s="22"/>
      <c r="K103" s="54"/>
      <c r="L103" s="67"/>
      <c r="M103" s="73"/>
      <c r="N103" s="74"/>
    </row>
    <row r="104" spans="1:14" s="27" customFormat="1" ht="15" customHeight="1" thickBot="1" x14ac:dyDescent="0.35">
      <c r="A104" s="5"/>
      <c r="B104" s="6" t="s">
        <v>11</v>
      </c>
      <c r="C104" s="45">
        <v>11895.44</v>
      </c>
      <c r="D104" s="45">
        <v>2357</v>
      </c>
      <c r="E104" s="46">
        <v>2357</v>
      </c>
      <c r="F104" s="67">
        <f>IFERROR(E104-C104,0)</f>
        <v>-9538.44</v>
      </c>
      <c r="G104" s="45">
        <v>2767</v>
      </c>
      <c r="H104" s="67">
        <f>IFERROR(E104-G104,0)</f>
        <v>-410</v>
      </c>
      <c r="I104" s="21"/>
      <c r="J104" s="22"/>
      <c r="K104" s="52">
        <v>2357</v>
      </c>
      <c r="L104" s="67">
        <f>IFERROR(E104-K104,0)</f>
        <v>0</v>
      </c>
      <c r="M104" s="73"/>
      <c r="N104" s="74"/>
    </row>
    <row r="105" spans="1:14" s="27" customFormat="1" ht="15" customHeight="1" thickBot="1" x14ac:dyDescent="0.35">
      <c r="A105" s="5"/>
      <c r="B105" s="6" t="s">
        <v>12</v>
      </c>
      <c r="C105" s="15">
        <f>IFERROR(C104/C101,0)</f>
        <v>1.5378720103425987</v>
      </c>
      <c r="D105" s="15">
        <f>IFERROR(D104/D101,0)</f>
        <v>1.5893459204315576</v>
      </c>
      <c r="E105" s="15">
        <f>IFERROR(E104/E101,0)</f>
        <v>1.5893459204315576</v>
      </c>
      <c r="F105" s="69">
        <f>IFERROR(E105-C105,0)</f>
        <v>5.1473910088958963E-2</v>
      </c>
      <c r="G105" s="15">
        <f>IFERROR(G104/G101,0)</f>
        <v>1.6519402985074627</v>
      </c>
      <c r="H105" s="69">
        <f>IFERROR(E105-G105,0)</f>
        <v>-6.2594378075905066E-2</v>
      </c>
      <c r="I105" s="21"/>
      <c r="J105" s="22"/>
      <c r="K105" s="55">
        <f>IFERROR(K104/K101,0)</f>
        <v>1.5893459204315576</v>
      </c>
      <c r="L105" s="69">
        <f>IFERROR(E105-K105,0)</f>
        <v>0</v>
      </c>
      <c r="M105" s="73"/>
      <c r="N105" s="74"/>
    </row>
    <row r="106" spans="1:14" s="27" customFormat="1" ht="5.0999999999999996" customHeight="1" thickBot="1" x14ac:dyDescent="0.35">
      <c r="A106" s="5"/>
      <c r="B106" s="6"/>
      <c r="C106" s="7"/>
      <c r="D106" s="13"/>
      <c r="E106" s="14"/>
      <c r="F106" s="69"/>
      <c r="G106" s="13"/>
      <c r="H106" s="69"/>
      <c r="I106" s="21"/>
      <c r="J106" s="22"/>
      <c r="K106" s="54"/>
      <c r="L106" s="69"/>
      <c r="M106" s="73"/>
      <c r="N106" s="74"/>
    </row>
    <row r="107" spans="1:14" s="27" customFormat="1" ht="15" customHeight="1" thickBot="1" x14ac:dyDescent="0.35">
      <c r="A107" s="5"/>
      <c r="B107" s="6" t="s">
        <v>13</v>
      </c>
      <c r="C107" s="15">
        <f>IFERROR(C96/C101,0)</f>
        <v>106.91991409737561</v>
      </c>
      <c r="D107" s="15">
        <f>IFERROR(D96/D101,0)</f>
        <v>67.298125421443004</v>
      </c>
      <c r="E107" s="15">
        <f>IFERROR(E96/E101,0)</f>
        <v>67.298125421443004</v>
      </c>
      <c r="F107" s="69">
        <f>IFERROR(E107-C107,0)</f>
        <v>-39.621788675932606</v>
      </c>
      <c r="G107" s="15">
        <f>IFERROR(G96/G101,0)</f>
        <v>75.805755223880595</v>
      </c>
      <c r="H107" s="69">
        <f>IFERROR(E107-G107,0)</f>
        <v>-8.5076298024375916</v>
      </c>
      <c r="I107" s="21">
        <f>IFERROR(E107/C107-1,0)</f>
        <v>-0.37057445294847224</v>
      </c>
      <c r="J107" s="22">
        <f>IFERROR(E107/G107-1,0)</f>
        <v>-0.11222933901669629</v>
      </c>
      <c r="K107" s="55">
        <f>IFERROR(K96/K101,0)</f>
        <v>67.298125421443004</v>
      </c>
      <c r="L107" s="69">
        <f>IFERROR(E107-K107,0)</f>
        <v>0</v>
      </c>
      <c r="M107" s="73"/>
      <c r="N107" s="74"/>
    </row>
    <row r="108" spans="1:14" s="38" customFormat="1" ht="15" customHeight="1" thickBot="1" x14ac:dyDescent="0.35">
      <c r="A108" s="9"/>
      <c r="B108" s="10" t="s">
        <v>14</v>
      </c>
      <c r="C108" s="16">
        <f>IFERROR(C96/C100,0)</f>
        <v>82.046184081666695</v>
      </c>
      <c r="D108" s="16">
        <f>IFERROR(D96/D100,0)</f>
        <v>9.9011031746031719</v>
      </c>
      <c r="E108" s="16">
        <f>IFERROR(E96/E100,0)</f>
        <v>9.9011031746031719</v>
      </c>
      <c r="F108" s="70">
        <f t="shared" ref="F108:F109" si="40">IFERROR(E108-C108,0)</f>
        <v>-72.145080907063516</v>
      </c>
      <c r="G108" s="16">
        <f>IFERROR(G96/G100,0)</f>
        <v>12.596690476190476</v>
      </c>
      <c r="H108" s="70">
        <f t="shared" ref="H108:H109" si="41">IFERROR(E108-G108,0)</f>
        <v>-2.6955873015873042</v>
      </c>
      <c r="I108" s="20">
        <f>IFERROR(E108/C108-1,0)</f>
        <v>-0.87932280720395406</v>
      </c>
      <c r="J108" s="11">
        <f>IFERROR(E108/G108-1,0)</f>
        <v>-0.21399170732045414</v>
      </c>
      <c r="K108" s="56">
        <f>IFERROR(K96/K100,0)</f>
        <v>9.9011031746031719</v>
      </c>
      <c r="L108" s="70">
        <f>IFERROR(E108-K108,0)</f>
        <v>0</v>
      </c>
      <c r="M108" s="73"/>
      <c r="N108" s="74"/>
    </row>
    <row r="109" spans="1:14" ht="15" customHeight="1" thickBot="1" x14ac:dyDescent="0.35">
      <c r="A109" s="17"/>
      <c r="B109" s="18" t="s">
        <v>34</v>
      </c>
      <c r="C109" s="19">
        <f>IFERROR(C95/C101,0)</f>
        <v>159.37722231395088</v>
      </c>
      <c r="D109" s="19">
        <f>IFERROR(D95/D101,0)</f>
        <v>130.32681726230612</v>
      </c>
      <c r="E109" s="19">
        <f>IFERROR(E95/E101,0)</f>
        <v>130.32681726230612</v>
      </c>
      <c r="F109" s="72">
        <f t="shared" si="40"/>
        <v>-29.050405051644759</v>
      </c>
      <c r="G109" s="19">
        <f>IFERROR(G95/G101,0)</f>
        <v>120.00421492537313</v>
      </c>
      <c r="H109" s="72">
        <f t="shared" si="41"/>
        <v>10.322602336932988</v>
      </c>
      <c r="I109" s="25">
        <f>IFERROR(E109/C109-1,0)</f>
        <v>-0.18227450968131143</v>
      </c>
      <c r="J109" s="26">
        <f>IFERROR(E109/G109-1,0)</f>
        <v>8.6018664789001775E-2</v>
      </c>
      <c r="K109" s="57">
        <f>IFERROR(K95/K101,0)</f>
        <v>130.32681726230609</v>
      </c>
      <c r="L109" s="72">
        <f>IFERROR(E109-K109,0)</f>
        <v>2.8421709430404007E-14</v>
      </c>
      <c r="M109" s="73"/>
      <c r="N109" s="74"/>
    </row>
    <row r="110" spans="1:14" s="27" customFormat="1" ht="15" customHeight="1" thickBot="1" x14ac:dyDescent="0.35">
      <c r="A110" s="36"/>
      <c r="B110" s="59" t="s">
        <v>15</v>
      </c>
      <c r="C110" s="60">
        <f>SUM(C111:C113)</f>
        <v>878509.47363232018</v>
      </c>
      <c r="D110" s="61">
        <f>SUM(D111:D113)</f>
        <v>582296.66</v>
      </c>
      <c r="E110" s="61">
        <f>SUM(E111:E113)</f>
        <v>582296.66</v>
      </c>
      <c r="F110" s="71">
        <f>IFERROR(SUM(F111:F113),0)</f>
        <v>-296212.81363232021</v>
      </c>
      <c r="G110" s="61">
        <f>SUM(G111:G113)</f>
        <v>451749.82000000007</v>
      </c>
      <c r="H110" s="71">
        <f>IFERROR(E110-G110,0)</f>
        <v>130546.83999999997</v>
      </c>
      <c r="I110" s="62">
        <f>IFERROR(E110/C110-1,0)</f>
        <v>-0.33717657296009218</v>
      </c>
      <c r="J110" s="63">
        <f>IFERROR(E110/G110-1,0)</f>
        <v>0.28898039184608848</v>
      </c>
      <c r="K110" s="64">
        <f>SUM(K111:K113)</f>
        <v>582296.66000000015</v>
      </c>
      <c r="L110" s="71">
        <f>IFERROR(SUM(L111:L113),0)</f>
        <v>0</v>
      </c>
      <c r="M110" s="73" t="s">
        <v>168</v>
      </c>
      <c r="N110" s="74"/>
    </row>
    <row r="111" spans="1:14" s="27" customFormat="1" ht="15" customHeight="1" thickBot="1" x14ac:dyDescent="0.35">
      <c r="A111" s="5"/>
      <c r="B111" s="6" t="s">
        <v>5</v>
      </c>
      <c r="C111" s="45">
        <v>687423.8</v>
      </c>
      <c r="D111" s="45">
        <v>395216.96000000008</v>
      </c>
      <c r="E111" s="45">
        <v>395216.96000000008</v>
      </c>
      <c r="F111" s="67">
        <f>IFERROR(E111-C111,0)</f>
        <v>-292206.83999999997</v>
      </c>
      <c r="G111" s="45">
        <v>341056.43000000011</v>
      </c>
      <c r="H111" s="67">
        <f t="shared" ref="H111:H113" si="42">IFERROR(E111-G111,0)</f>
        <v>54160.52999999997</v>
      </c>
      <c r="I111" s="21">
        <f t="shared" ref="I111:I113" si="43">IFERROR(E111/C111-1,0)</f>
        <v>-0.42507524470348557</v>
      </c>
      <c r="J111" s="22">
        <f t="shared" ref="J111:J113" si="44">IFERROR(E111/G111-1,0)</f>
        <v>0.15880225451254493</v>
      </c>
      <c r="K111" s="52">
        <v>395216.96</v>
      </c>
      <c r="L111" s="67">
        <f>IFERROR(E111-K111,0)</f>
        <v>5.8207660913467407E-11</v>
      </c>
      <c r="M111" s="73"/>
      <c r="N111" s="74"/>
    </row>
    <row r="112" spans="1:14" s="27" customFormat="1" ht="15" customHeight="1" thickBot="1" x14ac:dyDescent="0.35">
      <c r="A112" s="5"/>
      <c r="B112" s="6" t="s">
        <v>6</v>
      </c>
      <c r="C112" s="45">
        <v>126988.59127937898</v>
      </c>
      <c r="D112" s="45">
        <v>135275.1</v>
      </c>
      <c r="E112" s="45">
        <v>135275.1</v>
      </c>
      <c r="F112" s="67">
        <f t="shared" ref="F112:F113" si="45">IFERROR(E112-C112,0)</f>
        <v>8286.5087206210301</v>
      </c>
      <c r="G112" s="45">
        <v>73469.03</v>
      </c>
      <c r="H112" s="67">
        <f t="shared" si="42"/>
        <v>61806.070000000007</v>
      </c>
      <c r="I112" s="21">
        <f t="shared" si="43"/>
        <v>6.525396208538492E-2</v>
      </c>
      <c r="J112" s="22">
        <f t="shared" si="44"/>
        <v>0.84125338254772131</v>
      </c>
      <c r="K112" s="52">
        <v>135275.1</v>
      </c>
      <c r="L112" s="67">
        <f>IFERROR(E112-K112,0)</f>
        <v>0</v>
      </c>
      <c r="M112" s="73"/>
      <c r="N112" s="74"/>
    </row>
    <row r="113" spans="1:14" s="27" customFormat="1" ht="15" customHeight="1" thickBot="1" x14ac:dyDescent="0.35">
      <c r="A113" s="5"/>
      <c r="B113" s="6" t="s">
        <v>7</v>
      </c>
      <c r="C113" s="45">
        <v>64097.082352941201</v>
      </c>
      <c r="D113" s="45">
        <v>51804.599999999977</v>
      </c>
      <c r="E113" s="45">
        <v>51804.599999999977</v>
      </c>
      <c r="F113" s="67">
        <f t="shared" si="45"/>
        <v>-12292.482352941224</v>
      </c>
      <c r="G113" s="45">
        <v>37224.36</v>
      </c>
      <c r="H113" s="67">
        <f t="shared" si="42"/>
        <v>14580.239999999976</v>
      </c>
      <c r="I113" s="21">
        <f t="shared" si="43"/>
        <v>-0.19177912475414205</v>
      </c>
      <c r="J113" s="22">
        <f t="shared" si="44"/>
        <v>0.39168544469266831</v>
      </c>
      <c r="K113" s="52">
        <v>51804.600000000035</v>
      </c>
      <c r="L113" s="67">
        <f>IFERROR(E113-K113,0)</f>
        <v>-5.8207660913467407E-11</v>
      </c>
      <c r="M113" s="73"/>
      <c r="N113" s="74"/>
    </row>
    <row r="114" spans="1:14" s="27" customFormat="1" ht="5.0999999999999996" customHeight="1" thickBot="1" x14ac:dyDescent="0.35">
      <c r="A114" s="5"/>
      <c r="B114" s="6"/>
      <c r="C114" s="7"/>
      <c r="D114" s="7"/>
      <c r="E114" s="8"/>
      <c r="F114" s="67"/>
      <c r="G114" s="7"/>
      <c r="H114" s="67"/>
      <c r="I114" s="21"/>
      <c r="J114" s="21"/>
      <c r="K114" s="53"/>
      <c r="L114" s="67"/>
      <c r="M114" s="73"/>
      <c r="N114" s="74"/>
    </row>
    <row r="115" spans="1:14" s="27" customFormat="1" ht="15" customHeight="1" thickBot="1" x14ac:dyDescent="0.35">
      <c r="A115" s="5"/>
      <c r="B115" s="6" t="s">
        <v>8</v>
      </c>
      <c r="C115" s="45">
        <v>10416</v>
      </c>
      <c r="D115" s="45">
        <v>10416</v>
      </c>
      <c r="E115" s="46">
        <v>10416</v>
      </c>
      <c r="F115" s="67">
        <f>IFERROR(E115-C115,0)</f>
        <v>0</v>
      </c>
      <c r="G115" s="45">
        <v>10416</v>
      </c>
      <c r="H115" s="67">
        <f>IFERROR(E115-G115,0)</f>
        <v>0</v>
      </c>
      <c r="I115" s="23"/>
      <c r="J115" s="24"/>
      <c r="K115" s="52">
        <v>10416</v>
      </c>
      <c r="L115" s="67">
        <f>IFERROR(E115-K115,0)</f>
        <v>0</v>
      </c>
      <c r="M115" s="73"/>
      <c r="N115" s="74"/>
    </row>
    <row r="116" spans="1:14" s="27" customFormat="1" ht="15" customHeight="1" thickBot="1" x14ac:dyDescent="0.35">
      <c r="A116" s="5"/>
      <c r="B116" s="6" t="s">
        <v>9</v>
      </c>
      <c r="C116" s="45">
        <v>8000</v>
      </c>
      <c r="D116" s="45">
        <v>6124</v>
      </c>
      <c r="E116" s="46">
        <v>6124</v>
      </c>
      <c r="F116" s="67">
        <f>IFERROR(E116-C116,0)</f>
        <v>-1876</v>
      </c>
      <c r="G116" s="45">
        <v>5614</v>
      </c>
      <c r="H116" s="67">
        <f>IFERROR(E116-G116,0)</f>
        <v>510</v>
      </c>
      <c r="I116" s="23"/>
      <c r="J116" s="24"/>
      <c r="K116" s="52">
        <v>6124</v>
      </c>
      <c r="L116" s="67">
        <f>IFERROR(E116-K116,0)</f>
        <v>0</v>
      </c>
      <c r="M116" s="73"/>
      <c r="N116" s="74"/>
    </row>
    <row r="117" spans="1:14" s="38" customFormat="1" ht="15" customHeight="1" thickBot="1" x14ac:dyDescent="0.35">
      <c r="A117" s="9"/>
      <c r="B117" s="10" t="s">
        <v>10</v>
      </c>
      <c r="C117" s="11">
        <f>IFERROR(C116/C115,0)</f>
        <v>0.76804915514592931</v>
      </c>
      <c r="D117" s="11">
        <f>IFERROR(D116/D115,0)</f>
        <v>0.58794162826420893</v>
      </c>
      <c r="E117" s="11">
        <f>IFERROR(E116/E115,0)</f>
        <v>0.58794162826420893</v>
      </c>
      <c r="F117" s="68">
        <f>IFERROR(E117-C117,0)</f>
        <v>-0.18010752688172038</v>
      </c>
      <c r="G117" s="11">
        <f>IFERROR(G116/G115,0)</f>
        <v>0.53897849462365588</v>
      </c>
      <c r="H117" s="68">
        <f>IFERROR(E117-G117,0)</f>
        <v>4.8963133640553047E-2</v>
      </c>
      <c r="I117" s="20">
        <f>IFERROR(E117/C117-1,0)</f>
        <v>-0.23449999999999993</v>
      </c>
      <c r="J117" s="11">
        <f>IFERROR(E117/G117-1,0)</f>
        <v>9.0844317776986205E-2</v>
      </c>
      <c r="K117" s="12">
        <f>IFERROR(K116/K115,0)</f>
        <v>0.58794162826420893</v>
      </c>
      <c r="L117" s="68">
        <f>IFERROR(E117-K117,0)</f>
        <v>0</v>
      </c>
      <c r="M117" s="73"/>
      <c r="N117" s="74"/>
    </row>
    <row r="118" spans="1:14" s="27" customFormat="1" ht="5.0999999999999996" customHeight="1" thickBot="1" x14ac:dyDescent="0.35">
      <c r="A118" s="5"/>
      <c r="B118" s="6"/>
      <c r="C118" s="7"/>
      <c r="D118" s="13"/>
      <c r="E118" s="14"/>
      <c r="F118" s="67"/>
      <c r="G118" s="13"/>
      <c r="H118" s="67"/>
      <c r="I118" s="21"/>
      <c r="J118" s="22"/>
      <c r="K118" s="54"/>
      <c r="L118" s="67"/>
      <c r="M118" s="73"/>
      <c r="N118" s="74"/>
    </row>
    <row r="119" spans="1:14" s="27" customFormat="1" ht="15" customHeight="1" thickBot="1" x14ac:dyDescent="0.35">
      <c r="A119" s="5"/>
      <c r="B119" s="6" t="s">
        <v>11</v>
      </c>
      <c r="C119" s="45">
        <v>13863.5</v>
      </c>
      <c r="D119" s="45">
        <v>10258</v>
      </c>
      <c r="E119" s="46">
        <v>10258</v>
      </c>
      <c r="F119" s="67">
        <f>IFERROR(E119-C119,0)</f>
        <v>-3605.5</v>
      </c>
      <c r="G119" s="45">
        <v>10266</v>
      </c>
      <c r="H119" s="67">
        <f>IFERROR(E119-G119,0)</f>
        <v>-8</v>
      </c>
      <c r="I119" s="21"/>
      <c r="J119" s="22"/>
      <c r="K119" s="52">
        <v>10258</v>
      </c>
      <c r="L119" s="67">
        <f>IFERROR(E119-K119,0)</f>
        <v>0</v>
      </c>
      <c r="M119" s="73"/>
      <c r="N119" s="74"/>
    </row>
    <row r="120" spans="1:14" s="27" customFormat="1" ht="15" customHeight="1" thickBot="1" x14ac:dyDescent="0.35">
      <c r="A120" s="5"/>
      <c r="B120" s="6" t="s">
        <v>12</v>
      </c>
      <c r="C120" s="15">
        <f>IFERROR(C119/C116,0)</f>
        <v>1.7329375</v>
      </c>
      <c r="D120" s="15">
        <f>IFERROR(D119/D116,0)</f>
        <v>1.6750489875898107</v>
      </c>
      <c r="E120" s="15">
        <f>IFERROR(E119/E116,0)</f>
        <v>1.6750489875898107</v>
      </c>
      <c r="F120" s="69">
        <f>IFERROR(E120-C120,0)</f>
        <v>-5.788851241018933E-2</v>
      </c>
      <c r="G120" s="15">
        <f>IFERROR(G119/G116,0)</f>
        <v>1.8286426790167438</v>
      </c>
      <c r="H120" s="69">
        <f>IFERROR(E120-G120,0)</f>
        <v>-0.15359369142693313</v>
      </c>
      <c r="I120" s="21"/>
      <c r="J120" s="22"/>
      <c r="K120" s="55">
        <f>IFERROR(K119/K116,0)</f>
        <v>1.6750489875898107</v>
      </c>
      <c r="L120" s="69">
        <f>IFERROR(E120-K120,0)</f>
        <v>0</v>
      </c>
      <c r="M120" s="73"/>
      <c r="N120" s="74"/>
    </row>
    <row r="121" spans="1:14" s="27" customFormat="1" ht="5.0999999999999996" customHeight="1" thickBot="1" x14ac:dyDescent="0.35">
      <c r="A121" s="5"/>
      <c r="B121" s="6"/>
      <c r="C121" s="7"/>
      <c r="D121" s="13"/>
      <c r="E121" s="14"/>
      <c r="F121" s="69"/>
      <c r="G121" s="13"/>
      <c r="H121" s="69"/>
      <c r="I121" s="21"/>
      <c r="J121" s="22"/>
      <c r="K121" s="54"/>
      <c r="L121" s="69"/>
      <c r="M121" s="73"/>
      <c r="N121" s="74"/>
    </row>
    <row r="122" spans="1:14" s="27" customFormat="1" ht="15" customHeight="1" thickBot="1" x14ac:dyDescent="0.35">
      <c r="A122" s="5"/>
      <c r="B122" s="6" t="s">
        <v>13</v>
      </c>
      <c r="C122" s="15">
        <f>IFERROR(C111/C116,0)</f>
        <v>85.927975000000004</v>
      </c>
      <c r="D122" s="15">
        <f>IFERROR(D111/D116,0)</f>
        <v>64.535754408883093</v>
      </c>
      <c r="E122" s="15">
        <f>IFERROR(E111/E116,0)</f>
        <v>64.535754408883093</v>
      </c>
      <c r="F122" s="69">
        <f>IFERROR(E122-C122,0)</f>
        <v>-21.39222059111691</v>
      </c>
      <c r="G122" s="15">
        <f>IFERROR(G111/G116,0)</f>
        <v>60.751056287851817</v>
      </c>
      <c r="H122" s="69">
        <f>IFERROR(E122-G122,0)</f>
        <v>3.7846981210312762</v>
      </c>
      <c r="I122" s="21">
        <f>IFERROR(E122/C122-1,0)</f>
        <v>-0.24895525108228034</v>
      </c>
      <c r="J122" s="22">
        <f>IFERROR(E122/G122-1,0)</f>
        <v>6.2298474335961362E-2</v>
      </c>
      <c r="K122" s="55">
        <f>IFERROR(K111/K116,0)</f>
        <v>64.535754408883093</v>
      </c>
      <c r="L122" s="69">
        <f>IFERROR(E122-K122,0)</f>
        <v>0</v>
      </c>
      <c r="M122" s="73"/>
      <c r="N122" s="74"/>
    </row>
    <row r="123" spans="1:14" s="38" customFormat="1" ht="15" customHeight="1" thickBot="1" x14ac:dyDescent="0.35">
      <c r="A123" s="9"/>
      <c r="B123" s="10" t="s">
        <v>14</v>
      </c>
      <c r="C123" s="16">
        <f>IFERROR(C111/C115,0)</f>
        <v>65.99690860215054</v>
      </c>
      <c r="D123" s="16">
        <f>IFERROR(D111/D115,0)</f>
        <v>37.943256528417827</v>
      </c>
      <c r="E123" s="16">
        <f>IFERROR(E111/E115,0)</f>
        <v>37.943256528417827</v>
      </c>
      <c r="F123" s="70">
        <f t="shared" ref="F123:F124" si="46">IFERROR(E123-C123,0)</f>
        <v>-28.053652073732714</v>
      </c>
      <c r="G123" s="16">
        <f>IFERROR(G111/G115,0)</f>
        <v>32.743512864823359</v>
      </c>
      <c r="H123" s="70">
        <f t="shared" ref="H123:H124" si="47">IFERROR(E123-G123,0)</f>
        <v>5.199743663594468</v>
      </c>
      <c r="I123" s="20">
        <f>IFERROR(E123/C123-1,0)</f>
        <v>-0.42507524470348557</v>
      </c>
      <c r="J123" s="11">
        <f>IFERROR(E123/G123-1,0)</f>
        <v>0.15880225451254493</v>
      </c>
      <c r="K123" s="56">
        <f>IFERROR(K111/K115,0)</f>
        <v>37.94325652841782</v>
      </c>
      <c r="L123" s="70">
        <f>IFERROR(E123-K123,0)</f>
        <v>7.1054273576010019E-15</v>
      </c>
      <c r="M123" s="73"/>
      <c r="N123" s="74"/>
    </row>
    <row r="124" spans="1:14" ht="15" customHeight="1" thickBot="1" x14ac:dyDescent="0.35">
      <c r="A124" s="17"/>
      <c r="B124" s="18" t="s">
        <v>34</v>
      </c>
      <c r="C124" s="19">
        <f>IFERROR(C110/C116,0)</f>
        <v>109.81368420404002</v>
      </c>
      <c r="D124" s="19">
        <f>IFERROR(D110/D116,0)</f>
        <v>95.084366427171787</v>
      </c>
      <c r="E124" s="19">
        <f>IFERROR(E110/E116,0)</f>
        <v>95.084366427171787</v>
      </c>
      <c r="F124" s="72">
        <f t="shared" si="46"/>
        <v>-14.729317776868228</v>
      </c>
      <c r="G124" s="19">
        <f>IFERROR(G110/G116,0)</f>
        <v>80.468439615247604</v>
      </c>
      <c r="H124" s="72">
        <f t="shared" si="47"/>
        <v>14.615926811924183</v>
      </c>
      <c r="I124" s="25">
        <f>IFERROR(E124/C124-1,0)</f>
        <v>-0.13413007571533908</v>
      </c>
      <c r="J124" s="26">
        <f>IFERROR(E124/G124-1,0)</f>
        <v>0.181635519239703</v>
      </c>
      <c r="K124" s="57">
        <f>IFERROR(K110/K116,0)</f>
        <v>95.084366427171801</v>
      </c>
      <c r="L124" s="72">
        <f>IFERROR(E124-K124,0)</f>
        <v>-1.4210854715202004E-14</v>
      </c>
      <c r="M124" s="73"/>
      <c r="N124" s="74"/>
    </row>
    <row r="125" spans="1:14" s="27" customFormat="1" ht="15" customHeight="1" thickBot="1" x14ac:dyDescent="0.35">
      <c r="A125" s="1"/>
      <c r="B125" s="2" t="s">
        <v>16</v>
      </c>
      <c r="C125" s="3">
        <f>SUM(C126:C128)</f>
        <v>851913.73508461798</v>
      </c>
      <c r="D125" s="3">
        <f>SUM(D126:D128)</f>
        <v>839300.38999999966</v>
      </c>
      <c r="E125" s="4">
        <f>SUM(E126:E128)</f>
        <v>839300.38999999966</v>
      </c>
      <c r="F125" s="71">
        <f>IFERROR(SUM(F126:F128),0)</f>
        <v>-12613.34508461821</v>
      </c>
      <c r="G125" s="3">
        <f>SUM(G126:G128)</f>
        <v>446506.11</v>
      </c>
      <c r="H125" s="71">
        <f>IFERROR(E125-G125,0)</f>
        <v>392794.27999999968</v>
      </c>
      <c r="I125" s="20">
        <f>IFERROR(E125/C125-1,0)</f>
        <v>-1.4805894734594816E-2</v>
      </c>
      <c r="J125" s="11">
        <f>IFERROR(E125/G125-1,0)</f>
        <v>0.87970639416334007</v>
      </c>
      <c r="K125" s="51">
        <f>SUM(K126:K128)</f>
        <v>839300.39</v>
      </c>
      <c r="L125" s="71">
        <f>IFERROR(SUM(L126:L128),0)</f>
        <v>-1.7462298274040222E-10</v>
      </c>
      <c r="M125" s="73" t="s">
        <v>170</v>
      </c>
      <c r="N125" s="74"/>
    </row>
    <row r="126" spans="1:14" s="27" customFormat="1" ht="15" customHeight="1" thickBot="1" x14ac:dyDescent="0.35">
      <c r="A126" s="5"/>
      <c r="B126" s="6" t="s">
        <v>5</v>
      </c>
      <c r="C126" s="45">
        <v>664858.19999999995</v>
      </c>
      <c r="D126" s="45">
        <v>564777.98999999976</v>
      </c>
      <c r="E126" s="45">
        <v>564777.98999999976</v>
      </c>
      <c r="F126" s="67">
        <f>IFERROR(E126-C126,0)</f>
        <v>-100080.2100000002</v>
      </c>
      <c r="G126" s="45">
        <v>275326.09999999998</v>
      </c>
      <c r="H126" s="67">
        <f t="shared" ref="H126:H128" si="48">IFERROR(E126-G126,0)</f>
        <v>289451.88999999978</v>
      </c>
      <c r="I126" s="21">
        <f t="shared" ref="I126:I128" si="49">IFERROR(E126/C126-1,0)</f>
        <v>-0.15052865407992289</v>
      </c>
      <c r="J126" s="22">
        <f t="shared" ref="J126:J128" si="50">IFERROR(E126/G126-1,0)</f>
        <v>1.0513056698947167</v>
      </c>
      <c r="K126" s="52">
        <v>564777.98999999987</v>
      </c>
      <c r="L126" s="67">
        <f>IFERROR(E126-K126,0)</f>
        <v>-1.1641532182693481E-10</v>
      </c>
      <c r="M126" s="73"/>
      <c r="N126" s="74"/>
    </row>
    <row r="127" spans="1:14" s="27" customFormat="1" ht="15" customHeight="1" thickBot="1" x14ac:dyDescent="0.35">
      <c r="A127" s="5"/>
      <c r="B127" s="6" t="s">
        <v>6</v>
      </c>
      <c r="C127" s="45">
        <v>118520.0527316768</v>
      </c>
      <c r="D127" s="45">
        <v>201991.95</v>
      </c>
      <c r="E127" s="45">
        <v>201991.95</v>
      </c>
      <c r="F127" s="67">
        <f t="shared" ref="F127:F128" si="51">IFERROR(E127-C127,0)</f>
        <v>83471.897268323213</v>
      </c>
      <c r="G127" s="45">
        <v>97778.75</v>
      </c>
      <c r="H127" s="67">
        <f t="shared" si="48"/>
        <v>104213.20000000001</v>
      </c>
      <c r="I127" s="21">
        <f t="shared" si="49"/>
        <v>0.70428501628580298</v>
      </c>
      <c r="J127" s="22">
        <f t="shared" si="50"/>
        <v>1.0658062206767833</v>
      </c>
      <c r="K127" s="52">
        <v>201991.95</v>
      </c>
      <c r="L127" s="67">
        <f>IFERROR(E127-K127,0)</f>
        <v>0</v>
      </c>
      <c r="M127" s="73"/>
      <c r="N127" s="74"/>
    </row>
    <row r="128" spans="1:14" s="27" customFormat="1" ht="15" customHeight="1" thickBot="1" x14ac:dyDescent="0.35">
      <c r="A128" s="5"/>
      <c r="B128" s="6" t="s">
        <v>7</v>
      </c>
      <c r="C128" s="45">
        <v>68535.482352941195</v>
      </c>
      <c r="D128" s="45">
        <v>72530.449999999968</v>
      </c>
      <c r="E128" s="45">
        <v>72530.449999999968</v>
      </c>
      <c r="F128" s="67">
        <f t="shared" si="51"/>
        <v>3994.9676470587729</v>
      </c>
      <c r="G128" s="45">
        <v>73401.259999999995</v>
      </c>
      <c r="H128" s="67">
        <f t="shared" si="48"/>
        <v>-870.81000000002678</v>
      </c>
      <c r="I128" s="21">
        <f t="shared" si="49"/>
        <v>5.8290501648265325E-2</v>
      </c>
      <c r="J128" s="22">
        <f t="shared" si="50"/>
        <v>-1.1863692803093961E-2</v>
      </c>
      <c r="K128" s="52">
        <v>72530.450000000026</v>
      </c>
      <c r="L128" s="67">
        <f>IFERROR(E128-K128,0)</f>
        <v>-5.8207660913467407E-11</v>
      </c>
      <c r="M128" s="73"/>
      <c r="N128" s="74"/>
    </row>
    <row r="129" spans="1:14" s="27" customFormat="1" ht="5.0999999999999996" customHeight="1" thickBot="1" x14ac:dyDescent="0.35">
      <c r="A129" s="5"/>
      <c r="B129" s="6"/>
      <c r="C129" s="7"/>
      <c r="D129" s="7"/>
      <c r="E129" s="8"/>
      <c r="F129" s="67"/>
      <c r="G129" s="7"/>
      <c r="H129" s="67"/>
      <c r="I129" s="21"/>
      <c r="J129" s="21"/>
      <c r="K129" s="53"/>
      <c r="L129" s="67"/>
      <c r="M129" s="73"/>
      <c r="N129" s="74"/>
    </row>
    <row r="130" spans="1:14" s="27" customFormat="1" ht="15" customHeight="1" thickBot="1" x14ac:dyDescent="0.35">
      <c r="A130" s="5"/>
      <c r="B130" s="6" t="s">
        <v>8</v>
      </c>
      <c r="C130" s="45">
        <v>10416</v>
      </c>
      <c r="D130" s="45">
        <v>10416</v>
      </c>
      <c r="E130" s="46">
        <v>10416</v>
      </c>
      <c r="F130" s="67">
        <f>IFERROR(E130-C130,0)</f>
        <v>0</v>
      </c>
      <c r="G130" s="45">
        <v>10416</v>
      </c>
      <c r="H130" s="67">
        <f>IFERROR(E130-G130,0)</f>
        <v>0</v>
      </c>
      <c r="I130" s="23"/>
      <c r="J130" s="24"/>
      <c r="K130" s="52">
        <v>10416</v>
      </c>
      <c r="L130" s="67">
        <f>IFERROR(E130-K130,0)</f>
        <v>0</v>
      </c>
      <c r="M130" s="73"/>
      <c r="N130" s="74"/>
    </row>
    <row r="131" spans="1:14" s="27" customFormat="1" ht="15" customHeight="1" thickBot="1" x14ac:dyDescent="0.35">
      <c r="A131" s="5"/>
      <c r="B131" s="6" t="s">
        <v>9</v>
      </c>
      <c r="C131" s="45">
        <v>8000</v>
      </c>
      <c r="D131" s="45">
        <v>8009</v>
      </c>
      <c r="E131" s="46">
        <v>8009</v>
      </c>
      <c r="F131" s="67">
        <f>IFERROR(E131-C131,0)</f>
        <v>9</v>
      </c>
      <c r="G131" s="45">
        <v>3947</v>
      </c>
      <c r="H131" s="67">
        <f>IFERROR(E131-G131,0)</f>
        <v>4062</v>
      </c>
      <c r="I131" s="23"/>
      <c r="J131" s="24"/>
      <c r="K131" s="52">
        <v>8009</v>
      </c>
      <c r="L131" s="67">
        <f>IFERROR(E131-K131,0)</f>
        <v>0</v>
      </c>
      <c r="M131" s="73"/>
      <c r="N131" s="74"/>
    </row>
    <row r="132" spans="1:14" s="38" customFormat="1" ht="15" customHeight="1" thickBot="1" x14ac:dyDescent="0.35">
      <c r="A132" s="9"/>
      <c r="B132" s="10" t="s">
        <v>10</v>
      </c>
      <c r="C132" s="11">
        <f>IFERROR(C131/C130,0)</f>
        <v>0.76804915514592931</v>
      </c>
      <c r="D132" s="11">
        <f>IFERROR(D131/D130,0)</f>
        <v>0.76891321044546856</v>
      </c>
      <c r="E132" s="11">
        <f>IFERROR(E131/E130,0)</f>
        <v>0.76891321044546856</v>
      </c>
      <c r="F132" s="68">
        <f>IFERROR(E132-C132,0)</f>
        <v>8.6405529953925697E-4</v>
      </c>
      <c r="G132" s="11">
        <f>IFERROR(G131/G130,0)</f>
        <v>0.37893625192012287</v>
      </c>
      <c r="H132" s="68">
        <f>IFERROR(E132-G132,0)</f>
        <v>0.3899769585253457</v>
      </c>
      <c r="I132" s="20">
        <f>IFERROR(E132/C132-1,0)</f>
        <v>1.1250000000000426E-3</v>
      </c>
      <c r="J132" s="11">
        <f>IFERROR(E132/G132-1,0)</f>
        <v>1.0291360526982523</v>
      </c>
      <c r="K132" s="12">
        <f>IFERROR(K131/K130,0)</f>
        <v>0.76891321044546856</v>
      </c>
      <c r="L132" s="68">
        <f>IFERROR(E132-K132,0)</f>
        <v>0</v>
      </c>
      <c r="M132" s="73"/>
      <c r="N132" s="74"/>
    </row>
    <row r="133" spans="1:14" s="27" customFormat="1" ht="5.0999999999999996" customHeight="1" thickBot="1" x14ac:dyDescent="0.35">
      <c r="A133" s="5"/>
      <c r="B133" s="6"/>
      <c r="C133" s="7"/>
      <c r="D133" s="13"/>
      <c r="E133" s="14"/>
      <c r="F133" s="67"/>
      <c r="G133" s="13"/>
      <c r="H133" s="67"/>
      <c r="I133" s="21"/>
      <c r="J133" s="22"/>
      <c r="K133" s="54"/>
      <c r="L133" s="67"/>
      <c r="M133" s="73"/>
      <c r="N133" s="74"/>
    </row>
    <row r="134" spans="1:14" s="27" customFormat="1" ht="15" customHeight="1" thickBot="1" x14ac:dyDescent="0.35">
      <c r="A134" s="5"/>
      <c r="B134" s="6" t="s">
        <v>11</v>
      </c>
      <c r="C134" s="45">
        <v>13882</v>
      </c>
      <c r="D134" s="45">
        <v>13507</v>
      </c>
      <c r="E134" s="46">
        <v>13507</v>
      </c>
      <c r="F134" s="67">
        <f>IFERROR(E134-C134,0)</f>
        <v>-375</v>
      </c>
      <c r="G134" s="45">
        <v>6918</v>
      </c>
      <c r="H134" s="67">
        <f>IFERROR(E134-G134,0)</f>
        <v>6589</v>
      </c>
      <c r="I134" s="21"/>
      <c r="J134" s="22"/>
      <c r="K134" s="52">
        <v>13507</v>
      </c>
      <c r="L134" s="67">
        <f>IFERROR(E134-K134,0)</f>
        <v>0</v>
      </c>
      <c r="M134" s="73"/>
      <c r="N134" s="74"/>
    </row>
    <row r="135" spans="1:14" s="27" customFormat="1" ht="15" customHeight="1" thickBot="1" x14ac:dyDescent="0.35">
      <c r="A135" s="5"/>
      <c r="B135" s="6" t="s">
        <v>12</v>
      </c>
      <c r="C135" s="15">
        <f>IFERROR(C134/C131,0)</f>
        <v>1.73525</v>
      </c>
      <c r="D135" s="15">
        <f>IFERROR(D134/D131,0)</f>
        <v>1.686477712573355</v>
      </c>
      <c r="E135" s="15">
        <f>IFERROR(E134/E131,0)</f>
        <v>1.686477712573355</v>
      </c>
      <c r="F135" s="69">
        <f>IFERROR(E135-C135,0)</f>
        <v>-4.8772287426644967E-2</v>
      </c>
      <c r="G135" s="15">
        <f>IFERROR(G134/G131,0)</f>
        <v>1.7527235875348366</v>
      </c>
      <c r="H135" s="69">
        <f>IFERROR(E135-G135,0)</f>
        <v>-6.6245874961481599E-2</v>
      </c>
      <c r="I135" s="21"/>
      <c r="J135" s="22"/>
      <c r="K135" s="55">
        <f>IFERROR(K134/K131,0)</f>
        <v>1.686477712573355</v>
      </c>
      <c r="L135" s="69">
        <f>IFERROR(E135-K135,0)</f>
        <v>0</v>
      </c>
      <c r="M135" s="73"/>
      <c r="N135" s="74"/>
    </row>
    <row r="136" spans="1:14" s="27" customFormat="1" ht="5.0999999999999996" customHeight="1" thickBot="1" x14ac:dyDescent="0.35">
      <c r="A136" s="5"/>
      <c r="B136" s="6"/>
      <c r="C136" s="7"/>
      <c r="D136" s="13"/>
      <c r="E136" s="14"/>
      <c r="F136" s="69"/>
      <c r="G136" s="13"/>
      <c r="H136" s="69"/>
      <c r="I136" s="21"/>
      <c r="J136" s="22"/>
      <c r="K136" s="54"/>
      <c r="L136" s="69"/>
      <c r="M136" s="73"/>
      <c r="N136" s="74"/>
    </row>
    <row r="137" spans="1:14" s="27" customFormat="1" ht="15" customHeight="1" thickBot="1" x14ac:dyDescent="0.35">
      <c r="A137" s="5"/>
      <c r="B137" s="6" t="s">
        <v>13</v>
      </c>
      <c r="C137" s="15">
        <f>IFERROR(C126/C131,0)</f>
        <v>83.107274999999987</v>
      </c>
      <c r="D137" s="15">
        <f>IFERROR(D126/D131,0)</f>
        <v>70.517916094393783</v>
      </c>
      <c r="E137" s="15">
        <f>IFERROR(E126/E131,0)</f>
        <v>70.517916094393783</v>
      </c>
      <c r="F137" s="69">
        <f>IFERROR(E137-C137,0)</f>
        <v>-12.589358905606204</v>
      </c>
      <c r="G137" s="15">
        <f>IFERROR(G126/G131,0)</f>
        <v>69.755789206992645</v>
      </c>
      <c r="H137" s="69">
        <f>IFERROR(E137-G137,0)</f>
        <v>0.76212688740113776</v>
      </c>
      <c r="I137" s="21">
        <f>IFERROR(E137/C137-1,0)</f>
        <v>-0.15148323544005271</v>
      </c>
      <c r="J137" s="22">
        <f>IFERROR(E137/G137-1,0)</f>
        <v>1.0925643535328877E-2</v>
      </c>
      <c r="K137" s="55">
        <f>IFERROR(K126/K131,0)</f>
        <v>70.517916094393797</v>
      </c>
      <c r="L137" s="69">
        <f>IFERROR(E137-K137,0)</f>
        <v>-1.4210854715202004E-14</v>
      </c>
      <c r="M137" s="73"/>
      <c r="N137" s="74"/>
    </row>
    <row r="138" spans="1:14" s="38" customFormat="1" ht="15" customHeight="1" thickBot="1" x14ac:dyDescent="0.35">
      <c r="A138" s="9"/>
      <c r="B138" s="10" t="s">
        <v>14</v>
      </c>
      <c r="C138" s="16">
        <f>IFERROR(C126/C130,0)</f>
        <v>63.830472350230409</v>
      </c>
      <c r="D138" s="16">
        <f>IFERROR(D126/D130,0)</f>
        <v>54.222157258064492</v>
      </c>
      <c r="E138" s="16">
        <f>IFERROR(E126/E130,0)</f>
        <v>54.222157258064492</v>
      </c>
      <c r="F138" s="70">
        <f t="shared" ref="F138:F139" si="52">IFERROR(E138-C138,0)</f>
        <v>-9.6083150921659168</v>
      </c>
      <c r="G138" s="16">
        <f>IFERROR(G126/G130,0)</f>
        <v>26.432997311827954</v>
      </c>
      <c r="H138" s="70">
        <f t="shared" ref="H138:H139" si="53">IFERROR(E138-G138,0)</f>
        <v>27.789159946236538</v>
      </c>
      <c r="I138" s="20">
        <f>IFERROR(E138/C138-1,0)</f>
        <v>-0.15052865407992289</v>
      </c>
      <c r="J138" s="11">
        <f>IFERROR(E138/G138-1,0)</f>
        <v>1.0513056698947167</v>
      </c>
      <c r="K138" s="56">
        <f>IFERROR(K126/K130,0)</f>
        <v>54.222157258064506</v>
      </c>
      <c r="L138" s="70">
        <f>IFERROR(E138-K138,0)</f>
        <v>-1.4210854715202004E-14</v>
      </c>
      <c r="M138" s="73"/>
      <c r="N138" s="74"/>
    </row>
    <row r="139" spans="1:14" ht="15" customHeight="1" thickBot="1" x14ac:dyDescent="0.35">
      <c r="A139" s="17"/>
      <c r="B139" s="18" t="s">
        <v>34</v>
      </c>
      <c r="C139" s="19">
        <f>IFERROR(C125/C131,0)</f>
        <v>106.48921688557725</v>
      </c>
      <c r="D139" s="19">
        <f>IFERROR(D125/D131,0)</f>
        <v>104.79465476339114</v>
      </c>
      <c r="E139" s="19">
        <f>IFERROR(E125/E131,0)</f>
        <v>104.79465476339114</v>
      </c>
      <c r="F139" s="72">
        <f t="shared" si="52"/>
        <v>-1.6945621221861131</v>
      </c>
      <c r="G139" s="19">
        <f>IFERROR(G125/G131,0)</f>
        <v>113.12543957436027</v>
      </c>
      <c r="H139" s="72">
        <f t="shared" si="53"/>
        <v>-8.3307848109691349</v>
      </c>
      <c r="I139" s="25">
        <f>IFERROR(E139/C139-1,0)</f>
        <v>-1.5912992617899691E-2</v>
      </c>
      <c r="J139" s="26">
        <f>IFERROR(E139/G139-1,0)</f>
        <v>-7.3642010517829593E-2</v>
      </c>
      <c r="K139" s="57">
        <f>IFERROR(K125/K131,0)</f>
        <v>104.79465476339119</v>
      </c>
      <c r="L139" s="72">
        <f>IFERROR(E139-K139,0)</f>
        <v>-5.6843418860808015E-14</v>
      </c>
      <c r="M139" s="73"/>
      <c r="N139" s="74"/>
    </row>
    <row r="140" spans="1:14" s="27" customFormat="1" ht="15" customHeight="1" thickBot="1" x14ac:dyDescent="0.35">
      <c r="A140" s="1"/>
      <c r="B140" s="2" t="s">
        <v>17</v>
      </c>
      <c r="C140" s="3">
        <f>SUM(C141:C143)</f>
        <v>1562316.047384518</v>
      </c>
      <c r="D140" s="3">
        <f>SUM(D141:D143)</f>
        <v>860197.76999999979</v>
      </c>
      <c r="E140" s="4">
        <f>SUM(E141:E143)</f>
        <v>860197.76999999979</v>
      </c>
      <c r="F140" s="71">
        <f>IFERROR(SUM(F141:F143),0)</f>
        <v>-702118.27738451818</v>
      </c>
      <c r="G140" s="3">
        <f>SUM(G141:G143)</f>
        <v>407146.71</v>
      </c>
      <c r="H140" s="71">
        <f>IFERROR(E140-G140,0)</f>
        <v>453051.05999999976</v>
      </c>
      <c r="I140" s="20">
        <f>IFERROR(E140/C140-1,0)</f>
        <v>-0.44940860625475765</v>
      </c>
      <c r="J140" s="11">
        <f>IFERROR(E140/G140-1,0)</f>
        <v>1.1127464593782417</v>
      </c>
      <c r="K140" s="51">
        <f>SUM(K141:K143)</f>
        <v>860197.77</v>
      </c>
      <c r="L140" s="71">
        <f>IFERROR(SUM(L141:L143),0)</f>
        <v>-1.3096723705530167E-10</v>
      </c>
      <c r="M140" s="73" t="s">
        <v>167</v>
      </c>
      <c r="N140" s="74"/>
    </row>
    <row r="141" spans="1:14" s="27" customFormat="1" ht="15" customHeight="1" thickBot="1" x14ac:dyDescent="0.35">
      <c r="A141" s="5"/>
      <c r="B141" s="6" t="s">
        <v>5</v>
      </c>
      <c r="C141" s="45">
        <v>1117402</v>
      </c>
      <c r="D141" s="45">
        <v>556626.39999999991</v>
      </c>
      <c r="E141" s="45">
        <v>556626.39999999991</v>
      </c>
      <c r="F141" s="67">
        <f>IFERROR(E141-C141,0)</f>
        <v>-560775.60000000009</v>
      </c>
      <c r="G141" s="45">
        <v>233427.81</v>
      </c>
      <c r="H141" s="67">
        <f t="shared" ref="H141:H143" si="54">IFERROR(E141-G141,0)</f>
        <v>323198.58999999991</v>
      </c>
      <c r="I141" s="21">
        <f t="shared" ref="I141:I143" si="55">IFERROR(E141/C141-1,0)</f>
        <v>-0.5018566281427812</v>
      </c>
      <c r="J141" s="22">
        <f t="shared" ref="J141:J143" si="56">IFERROR(E141/G141-1,0)</f>
        <v>1.3845761993825838</v>
      </c>
      <c r="K141" s="52">
        <v>556626.4</v>
      </c>
      <c r="L141" s="67">
        <f>IFERROR(E141-K141,0)</f>
        <v>-1.1641532182693481E-10</v>
      </c>
      <c r="M141" s="73"/>
      <c r="N141" s="74"/>
    </row>
    <row r="142" spans="1:14" s="27" customFormat="1" ht="15" customHeight="1" thickBot="1" x14ac:dyDescent="0.35">
      <c r="A142" s="5"/>
      <c r="B142" s="6" t="s">
        <v>6</v>
      </c>
      <c r="C142" s="45">
        <v>277440.5838551062</v>
      </c>
      <c r="D142" s="45">
        <v>184955.44</v>
      </c>
      <c r="E142" s="45">
        <v>184955.44</v>
      </c>
      <c r="F142" s="67">
        <f t="shared" ref="F142:F143" si="57">IFERROR(E142-C142,0)</f>
        <v>-92485.143855106202</v>
      </c>
      <c r="G142" s="45">
        <v>87245.760000000009</v>
      </c>
      <c r="H142" s="67">
        <f t="shared" si="54"/>
        <v>97709.68</v>
      </c>
      <c r="I142" s="21">
        <f t="shared" si="55"/>
        <v>-0.33335117224020372</v>
      </c>
      <c r="J142" s="22">
        <f t="shared" si="56"/>
        <v>1.1199361436017061</v>
      </c>
      <c r="K142" s="52">
        <v>184955.43999999997</v>
      </c>
      <c r="L142" s="67">
        <f>IFERROR(E142-K142,0)</f>
        <v>2.9103830456733704E-11</v>
      </c>
      <c r="M142" s="73"/>
      <c r="N142" s="74"/>
    </row>
    <row r="143" spans="1:14" s="27" customFormat="1" ht="15" customHeight="1" thickBot="1" x14ac:dyDescent="0.35">
      <c r="A143" s="5"/>
      <c r="B143" s="6" t="s">
        <v>7</v>
      </c>
      <c r="C143" s="45">
        <v>167473.46352941179</v>
      </c>
      <c r="D143" s="45">
        <v>118615.92999999996</v>
      </c>
      <c r="E143" s="45">
        <v>118615.92999999996</v>
      </c>
      <c r="F143" s="67">
        <f t="shared" si="57"/>
        <v>-48857.533529411827</v>
      </c>
      <c r="G143" s="45">
        <v>86473.14</v>
      </c>
      <c r="H143" s="67">
        <f t="shared" si="54"/>
        <v>32142.789999999964</v>
      </c>
      <c r="I143" s="21">
        <f t="shared" si="55"/>
        <v>-0.29173298563107242</v>
      </c>
      <c r="J143" s="22">
        <f t="shared" si="56"/>
        <v>0.3717083709461686</v>
      </c>
      <c r="K143" s="52">
        <v>118615.93000000001</v>
      </c>
      <c r="L143" s="67">
        <f>IFERROR(E143-K143,0)</f>
        <v>-4.3655745685100555E-11</v>
      </c>
      <c r="M143" s="73"/>
      <c r="N143" s="74"/>
    </row>
    <row r="144" spans="1:14" s="27" customFormat="1" ht="5.0999999999999996" customHeight="1" thickBot="1" x14ac:dyDescent="0.35">
      <c r="A144" s="5"/>
      <c r="B144" s="6"/>
      <c r="C144" s="7"/>
      <c r="D144" s="7"/>
      <c r="E144" s="8"/>
      <c r="F144" s="67"/>
      <c r="G144" s="7"/>
      <c r="H144" s="67"/>
      <c r="I144" s="21"/>
      <c r="J144" s="21"/>
      <c r="K144" s="53"/>
      <c r="L144" s="67"/>
      <c r="M144" s="73"/>
      <c r="N144" s="74"/>
    </row>
    <row r="145" spans="1:14" s="27" customFormat="1" ht="15" customHeight="1" thickBot="1" x14ac:dyDescent="0.35">
      <c r="A145" s="5"/>
      <c r="B145" s="6" t="s">
        <v>8</v>
      </c>
      <c r="C145" s="45">
        <v>10080</v>
      </c>
      <c r="D145" s="45">
        <v>10080</v>
      </c>
      <c r="E145" s="46">
        <v>10080</v>
      </c>
      <c r="F145" s="67">
        <f>IFERROR(E145-C145,0)</f>
        <v>0</v>
      </c>
      <c r="G145" s="45">
        <v>10080</v>
      </c>
      <c r="H145" s="67">
        <f>IFERROR(E145-G145,0)</f>
        <v>0</v>
      </c>
      <c r="I145" s="23"/>
      <c r="J145" s="24"/>
      <c r="K145" s="52">
        <v>10080</v>
      </c>
      <c r="L145" s="67">
        <f>IFERROR(E145-K145,0)</f>
        <v>0</v>
      </c>
      <c r="M145" s="73"/>
      <c r="N145" s="74"/>
    </row>
    <row r="146" spans="1:14" s="27" customFormat="1" ht="15" customHeight="1" thickBot="1" x14ac:dyDescent="0.35">
      <c r="A146" s="5"/>
      <c r="B146" s="6" t="s">
        <v>9</v>
      </c>
      <c r="C146" s="45">
        <v>8600</v>
      </c>
      <c r="D146" s="45">
        <v>6601</v>
      </c>
      <c r="E146" s="46">
        <v>6601</v>
      </c>
      <c r="F146" s="67">
        <f>IFERROR(E146-C146,0)</f>
        <v>-1999</v>
      </c>
      <c r="G146" s="45">
        <v>3325</v>
      </c>
      <c r="H146" s="67">
        <f>IFERROR(E146-G146,0)</f>
        <v>3276</v>
      </c>
      <c r="I146" s="23"/>
      <c r="J146" s="24"/>
      <c r="K146" s="52">
        <v>6601</v>
      </c>
      <c r="L146" s="67">
        <f>IFERROR(E146-K146,0)</f>
        <v>0</v>
      </c>
      <c r="M146" s="73"/>
      <c r="N146" s="74"/>
    </row>
    <row r="147" spans="1:14" s="38" customFormat="1" ht="15" customHeight="1" thickBot="1" x14ac:dyDescent="0.35">
      <c r="A147" s="9"/>
      <c r="B147" s="10" t="s">
        <v>10</v>
      </c>
      <c r="C147" s="11">
        <f>IFERROR(C146/C145,0)</f>
        <v>0.85317460317460314</v>
      </c>
      <c r="D147" s="11">
        <f>IFERROR(D146/D145,0)</f>
        <v>0.65486111111111112</v>
      </c>
      <c r="E147" s="11">
        <f>IFERROR(E146/E145,0)</f>
        <v>0.65486111111111112</v>
      </c>
      <c r="F147" s="68">
        <f>IFERROR(E147-C147,0)</f>
        <v>-0.19831349206349203</v>
      </c>
      <c r="G147" s="11">
        <f>IFERROR(G146/G145,0)</f>
        <v>0.3298611111111111</v>
      </c>
      <c r="H147" s="68">
        <f>IFERROR(E147-G147,0)</f>
        <v>0.32500000000000001</v>
      </c>
      <c r="I147" s="20">
        <f>IFERROR(E147/C147-1,0)</f>
        <v>-0.23244186046511628</v>
      </c>
      <c r="J147" s="11">
        <f>IFERROR(E147/G147-1,0)</f>
        <v>0.98526315789473684</v>
      </c>
      <c r="K147" s="12">
        <f>IFERROR(K146/K145,0)</f>
        <v>0.65486111111111112</v>
      </c>
      <c r="L147" s="68">
        <f>IFERROR(E147-K147,0)</f>
        <v>0</v>
      </c>
      <c r="M147" s="73"/>
      <c r="N147" s="74"/>
    </row>
    <row r="148" spans="1:14" s="27" customFormat="1" ht="5.0999999999999996" customHeight="1" thickBot="1" x14ac:dyDescent="0.35">
      <c r="A148" s="5"/>
      <c r="B148" s="6"/>
      <c r="C148" s="7"/>
      <c r="D148" s="13"/>
      <c r="E148" s="14"/>
      <c r="F148" s="67"/>
      <c r="G148" s="13"/>
      <c r="H148" s="67"/>
      <c r="I148" s="21"/>
      <c r="J148" s="22"/>
      <c r="K148" s="54"/>
      <c r="L148" s="67"/>
      <c r="M148" s="73"/>
      <c r="N148" s="74"/>
    </row>
    <row r="149" spans="1:14" s="27" customFormat="1" ht="15" customHeight="1" thickBot="1" x14ac:dyDescent="0.35">
      <c r="A149" s="5"/>
      <c r="B149" s="6" t="s">
        <v>11</v>
      </c>
      <c r="C149" s="45">
        <v>13062.5</v>
      </c>
      <c r="D149" s="45">
        <v>10688</v>
      </c>
      <c r="E149" s="46">
        <v>10688</v>
      </c>
      <c r="F149" s="67">
        <f>IFERROR(E149-C149,0)</f>
        <v>-2374.5</v>
      </c>
      <c r="G149" s="45">
        <v>5350</v>
      </c>
      <c r="H149" s="67">
        <f>IFERROR(E149-G149,0)</f>
        <v>5338</v>
      </c>
      <c r="I149" s="21"/>
      <c r="J149" s="22"/>
      <c r="K149" s="52">
        <v>10688</v>
      </c>
      <c r="L149" s="67">
        <f>IFERROR(E149-K149,0)</f>
        <v>0</v>
      </c>
      <c r="M149" s="73"/>
      <c r="N149" s="74"/>
    </row>
    <row r="150" spans="1:14" s="27" customFormat="1" ht="15" customHeight="1" thickBot="1" x14ac:dyDescent="0.35">
      <c r="A150" s="5"/>
      <c r="B150" s="6" t="s">
        <v>12</v>
      </c>
      <c r="C150" s="15">
        <f>IFERROR(C149/C146,0)</f>
        <v>1.5188953488372092</v>
      </c>
      <c r="D150" s="15">
        <f>IFERROR(D149/D146,0)</f>
        <v>1.6191486138463869</v>
      </c>
      <c r="E150" s="15">
        <f>IFERROR(E149/E146,0)</f>
        <v>1.6191486138463869</v>
      </c>
      <c r="F150" s="69">
        <f>IFERROR(E150-C150,0)</f>
        <v>0.10025326500917764</v>
      </c>
      <c r="G150" s="15">
        <f>IFERROR(G149/G146,0)</f>
        <v>1.6090225563909775</v>
      </c>
      <c r="H150" s="69">
        <f>IFERROR(E150-G150,0)</f>
        <v>1.0126057455409399E-2</v>
      </c>
      <c r="I150" s="21"/>
      <c r="J150" s="22"/>
      <c r="K150" s="55">
        <f>IFERROR(K149/K146,0)</f>
        <v>1.6191486138463869</v>
      </c>
      <c r="L150" s="69">
        <f>IFERROR(E150-K150,0)</f>
        <v>0</v>
      </c>
      <c r="M150" s="73"/>
      <c r="N150" s="74"/>
    </row>
    <row r="151" spans="1:14" s="27" customFormat="1" ht="5.0999999999999996" customHeight="1" thickBot="1" x14ac:dyDescent="0.35">
      <c r="A151" s="5"/>
      <c r="B151" s="6"/>
      <c r="C151" s="7"/>
      <c r="D151" s="13"/>
      <c r="E151" s="14"/>
      <c r="F151" s="69"/>
      <c r="G151" s="13"/>
      <c r="H151" s="69"/>
      <c r="I151" s="21"/>
      <c r="J151" s="22"/>
      <c r="K151" s="54"/>
      <c r="L151" s="69"/>
      <c r="M151" s="73"/>
      <c r="N151" s="74"/>
    </row>
    <row r="152" spans="1:14" s="27" customFormat="1" ht="15" customHeight="1" thickBot="1" x14ac:dyDescent="0.35">
      <c r="A152" s="5"/>
      <c r="B152" s="6" t="s">
        <v>13</v>
      </c>
      <c r="C152" s="15">
        <f>IFERROR(C141/C146,0)</f>
        <v>129.93046511627907</v>
      </c>
      <c r="D152" s="15">
        <f>IFERROR(D141/D146,0)</f>
        <v>84.324556885320391</v>
      </c>
      <c r="E152" s="15">
        <f>IFERROR(E141/E146,0)</f>
        <v>84.324556885320391</v>
      </c>
      <c r="F152" s="69">
        <f>IFERROR(E152-C152,0)</f>
        <v>-45.605908230958676</v>
      </c>
      <c r="G152" s="15">
        <f>IFERROR(G141/G146,0)</f>
        <v>70.20385263157894</v>
      </c>
      <c r="H152" s="69">
        <f>IFERROR(E152-G152,0)</f>
        <v>14.120704253741451</v>
      </c>
      <c r="I152" s="21">
        <f>IFERROR(E152/C152-1,0)</f>
        <v>-0.35100242418238436</v>
      </c>
      <c r="J152" s="22">
        <f>IFERROR(E152/G152-1,0)</f>
        <v>0.20113859459886263</v>
      </c>
      <c r="K152" s="55">
        <f>IFERROR(K141/K146,0)</f>
        <v>84.324556885320405</v>
      </c>
      <c r="L152" s="69">
        <f>IFERROR(E152-K152,0)</f>
        <v>-1.4210854715202004E-14</v>
      </c>
      <c r="M152" s="73"/>
      <c r="N152" s="74"/>
    </row>
    <row r="153" spans="1:14" s="38" customFormat="1" ht="15" customHeight="1" thickBot="1" x14ac:dyDescent="0.35">
      <c r="A153" s="9"/>
      <c r="B153" s="10" t="s">
        <v>14</v>
      </c>
      <c r="C153" s="16">
        <f>IFERROR(C141/C145,0)</f>
        <v>110.85337301587302</v>
      </c>
      <c r="D153" s="16">
        <f>IFERROR(D141/D145,0)</f>
        <v>55.220873015873003</v>
      </c>
      <c r="E153" s="16">
        <f>IFERROR(E141/E145,0)</f>
        <v>55.220873015873003</v>
      </c>
      <c r="F153" s="70">
        <f t="shared" ref="F153:F154" si="58">IFERROR(E153-C153,0)</f>
        <v>-55.632500000000014</v>
      </c>
      <c r="G153" s="16">
        <f>IFERROR(G141/G145,0)</f>
        <v>23.157520833333333</v>
      </c>
      <c r="H153" s="70">
        <f t="shared" ref="H153:H154" si="59">IFERROR(E153-G153,0)</f>
        <v>32.063352182539674</v>
      </c>
      <c r="I153" s="20">
        <f>IFERROR(E153/C153-1,0)</f>
        <v>-0.50185662814278131</v>
      </c>
      <c r="J153" s="11">
        <f>IFERROR(E153/G153-1,0)</f>
        <v>1.3845761993825838</v>
      </c>
      <c r="K153" s="56">
        <f>IFERROR(K141/K145,0)</f>
        <v>55.220873015873018</v>
      </c>
      <c r="L153" s="70">
        <f>IFERROR(E153-K153,0)</f>
        <v>-1.4210854715202004E-14</v>
      </c>
      <c r="M153" s="73"/>
      <c r="N153" s="74"/>
    </row>
    <row r="154" spans="1:14" ht="15" customHeight="1" thickBot="1" x14ac:dyDescent="0.35">
      <c r="A154" s="17"/>
      <c r="B154" s="18" t="s">
        <v>34</v>
      </c>
      <c r="C154" s="19">
        <f>IFERROR(C140/C146,0)</f>
        <v>181.66465667261838</v>
      </c>
      <c r="D154" s="19">
        <f>IFERROR(D140/D146,0)</f>
        <v>130.3132510225723</v>
      </c>
      <c r="E154" s="19">
        <f>IFERROR(E140/E146,0)</f>
        <v>130.3132510225723</v>
      </c>
      <c r="F154" s="72">
        <f t="shared" si="58"/>
        <v>-51.351405650046075</v>
      </c>
      <c r="G154" s="19">
        <f>IFERROR(G140/G146,0)</f>
        <v>122.45013834586467</v>
      </c>
      <c r="H154" s="72">
        <f t="shared" si="59"/>
        <v>7.8631126767076296</v>
      </c>
      <c r="I154" s="25">
        <f>IFERROR(E154/C154-1,0)</f>
        <v>-0.28267141551142505</v>
      </c>
      <c r="J154" s="26">
        <f>IFERROR(E154/G154-1,0)</f>
        <v>6.4214812518202269E-2</v>
      </c>
      <c r="K154" s="57">
        <f>IFERROR(K140/K146,0)</f>
        <v>130.31325102257233</v>
      </c>
      <c r="L154" s="72">
        <f>IFERROR(E154-K154,0)</f>
        <v>-2.8421709430404007E-14</v>
      </c>
      <c r="M154" s="73"/>
      <c r="N154" s="74"/>
    </row>
    <row r="155" spans="1:14" s="27" customFormat="1" ht="15" customHeight="1" thickBot="1" x14ac:dyDescent="0.35">
      <c r="A155" s="1"/>
      <c r="B155" s="2" t="s">
        <v>18</v>
      </c>
      <c r="C155" s="3">
        <f>SUM(C156:C158)</f>
        <v>1357360.5350223954</v>
      </c>
      <c r="D155" s="3">
        <f>SUM(D156:D158)</f>
        <v>1181228.3599999994</v>
      </c>
      <c r="E155" s="4">
        <f>SUM(E156:E158)</f>
        <v>1181228.3599999994</v>
      </c>
      <c r="F155" s="71">
        <f>IFERROR(SUM(F156:F158),0)</f>
        <v>-176132.17502239576</v>
      </c>
      <c r="G155" s="3">
        <f>SUM(G156:G158)</f>
        <v>457015.20999999985</v>
      </c>
      <c r="H155" s="71">
        <f>IFERROR(E155-G155,0)</f>
        <v>724213.14999999956</v>
      </c>
      <c r="I155" s="20">
        <f>IFERROR(E155/C155-1,0)</f>
        <v>-0.12976078976650807</v>
      </c>
      <c r="J155" s="11">
        <f>IFERROR(E155/G155-1,0)</f>
        <v>1.5846587469156659</v>
      </c>
      <c r="K155" s="51">
        <f>SUM(K156:K158)</f>
        <v>1181228.3599999999</v>
      </c>
      <c r="L155" s="71">
        <f>IFERROR(SUM(L156:L158),0)</f>
        <v>-1.7462298274040222E-10</v>
      </c>
      <c r="M155" s="73"/>
      <c r="N155" s="74"/>
    </row>
    <row r="156" spans="1:14" s="27" customFormat="1" ht="15" customHeight="1" thickBot="1" x14ac:dyDescent="0.35">
      <c r="A156" s="5"/>
      <c r="B156" s="6" t="s">
        <v>5</v>
      </c>
      <c r="C156" s="45">
        <v>912151.48</v>
      </c>
      <c r="D156" s="45">
        <v>741458.30999999971</v>
      </c>
      <c r="E156" s="45">
        <v>741458.30999999971</v>
      </c>
      <c r="F156" s="67">
        <f>IFERROR(E156-C156,0)</f>
        <v>-170693.17000000027</v>
      </c>
      <c r="G156" s="45">
        <v>196087.05</v>
      </c>
      <c r="H156" s="67">
        <f t="shared" ref="H156:H158" si="60">IFERROR(E156-G156,0)</f>
        <v>545371.25999999978</v>
      </c>
      <c r="I156" s="21">
        <f t="shared" ref="I156:I158" si="61">IFERROR(E156/C156-1,0)</f>
        <v>-0.18713248154791162</v>
      </c>
      <c r="J156" s="22">
        <f t="shared" ref="J156:J158" si="62">IFERROR(E156/G156-1,0)</f>
        <v>2.7812711752254917</v>
      </c>
      <c r="K156" s="52">
        <v>741458.30999999971</v>
      </c>
      <c r="L156" s="67">
        <f>IFERROR(E156-K156,0)</f>
        <v>0</v>
      </c>
      <c r="M156" s="73"/>
      <c r="N156" s="74"/>
    </row>
    <row r="157" spans="1:14" s="27" customFormat="1" ht="15" customHeight="1" thickBot="1" x14ac:dyDescent="0.35">
      <c r="A157" s="5"/>
      <c r="B157" s="6" t="s">
        <v>6</v>
      </c>
      <c r="C157" s="45">
        <v>262484.10443416005</v>
      </c>
      <c r="D157" s="45">
        <v>301448.3</v>
      </c>
      <c r="E157" s="45">
        <v>301448.3</v>
      </c>
      <c r="F157" s="67">
        <f t="shared" ref="F157:F158" si="63">IFERROR(E157-C157,0)</f>
        <v>38964.195565839938</v>
      </c>
      <c r="G157" s="45">
        <v>74307.5</v>
      </c>
      <c r="H157" s="67">
        <f t="shared" si="60"/>
        <v>227140.8</v>
      </c>
      <c r="I157" s="21">
        <f t="shared" si="61"/>
        <v>0.14844401968582255</v>
      </c>
      <c r="J157" s="22">
        <f t="shared" si="62"/>
        <v>3.0567681593378859</v>
      </c>
      <c r="K157" s="52">
        <v>301448.3000000001</v>
      </c>
      <c r="L157" s="67">
        <f>IFERROR(E157-K157,0)</f>
        <v>-1.1641532182693481E-10</v>
      </c>
      <c r="M157" s="73"/>
      <c r="N157" s="74"/>
    </row>
    <row r="158" spans="1:14" s="27" customFormat="1" ht="15" customHeight="1" thickBot="1" x14ac:dyDescent="0.35">
      <c r="A158" s="5"/>
      <c r="B158" s="6" t="s">
        <v>7</v>
      </c>
      <c r="C158" s="45">
        <v>182724.95058823531</v>
      </c>
      <c r="D158" s="45">
        <v>138321.74999999988</v>
      </c>
      <c r="E158" s="45">
        <v>138321.74999999988</v>
      </c>
      <c r="F158" s="67">
        <f t="shared" si="63"/>
        <v>-44403.200588235428</v>
      </c>
      <c r="G158" s="45">
        <v>186620.65999999989</v>
      </c>
      <c r="H158" s="67">
        <f t="shared" si="60"/>
        <v>-48298.91</v>
      </c>
      <c r="I158" s="21">
        <f t="shared" si="61"/>
        <v>-0.24300567845437038</v>
      </c>
      <c r="J158" s="22">
        <f t="shared" si="62"/>
        <v>-0.25880794763023574</v>
      </c>
      <c r="K158" s="52">
        <v>138321.74999999994</v>
      </c>
      <c r="L158" s="67">
        <f>IFERROR(E158-K158,0)</f>
        <v>-5.8207660913467407E-11</v>
      </c>
      <c r="M158" s="73"/>
      <c r="N158" s="74"/>
    </row>
    <row r="159" spans="1:14" s="27" customFormat="1" ht="5.0999999999999996" customHeight="1" thickBot="1" x14ac:dyDescent="0.35">
      <c r="A159" s="5"/>
      <c r="B159" s="6"/>
      <c r="C159" s="7"/>
      <c r="D159" s="7"/>
      <c r="E159" s="8"/>
      <c r="F159" s="67"/>
      <c r="G159" s="7"/>
      <c r="H159" s="67"/>
      <c r="I159" s="21"/>
      <c r="J159" s="21"/>
      <c r="K159" s="53"/>
      <c r="L159" s="67"/>
      <c r="M159" s="73"/>
      <c r="N159" s="74"/>
    </row>
    <row r="160" spans="1:14" s="27" customFormat="1" ht="15" customHeight="1" thickBot="1" x14ac:dyDescent="0.35">
      <c r="A160" s="5"/>
      <c r="B160" s="6" t="s">
        <v>8</v>
      </c>
      <c r="C160" s="45">
        <v>10416</v>
      </c>
      <c r="D160" s="45">
        <v>10416</v>
      </c>
      <c r="E160" s="46">
        <v>10416</v>
      </c>
      <c r="F160" s="67">
        <f>IFERROR(E160-C160,0)</f>
        <v>0</v>
      </c>
      <c r="G160" s="45">
        <v>10416</v>
      </c>
      <c r="H160" s="67">
        <f>IFERROR(E160-G160,0)</f>
        <v>0</v>
      </c>
      <c r="I160" s="23"/>
      <c r="J160" s="24"/>
      <c r="K160" s="52">
        <v>10416</v>
      </c>
      <c r="L160" s="67">
        <f>IFERROR(E160-K160,0)</f>
        <v>0</v>
      </c>
      <c r="M160" s="73"/>
      <c r="N160" s="74"/>
    </row>
    <row r="161" spans="1:14" s="27" customFormat="1" ht="15" customHeight="1" thickBot="1" x14ac:dyDescent="0.35">
      <c r="A161" s="5"/>
      <c r="B161" s="6" t="s">
        <v>9</v>
      </c>
      <c r="C161" s="45">
        <v>8800</v>
      </c>
      <c r="D161" s="45">
        <v>8849</v>
      </c>
      <c r="E161" s="46">
        <v>8849</v>
      </c>
      <c r="F161" s="67">
        <f>IFERROR(E161-C161,0)</f>
        <v>49</v>
      </c>
      <c r="G161" s="45">
        <v>3120</v>
      </c>
      <c r="H161" s="67">
        <f>IFERROR(E161-G161,0)</f>
        <v>5729</v>
      </c>
      <c r="I161" s="23"/>
      <c r="J161" s="24"/>
      <c r="K161" s="52">
        <v>8849</v>
      </c>
      <c r="L161" s="67">
        <f>IFERROR(E161-K161,0)</f>
        <v>0</v>
      </c>
      <c r="M161" s="73"/>
      <c r="N161" s="74"/>
    </row>
    <row r="162" spans="1:14" s="38" customFormat="1" ht="15" customHeight="1" thickBot="1" x14ac:dyDescent="0.35">
      <c r="A162" s="9"/>
      <c r="B162" s="10" t="s">
        <v>10</v>
      </c>
      <c r="C162" s="11">
        <f>IFERROR(C161/C160,0)</f>
        <v>0.84485407066052232</v>
      </c>
      <c r="D162" s="11">
        <f>IFERROR(D161/D160,0)</f>
        <v>0.84955837173579107</v>
      </c>
      <c r="E162" s="11">
        <f>IFERROR(E161/E160,0)</f>
        <v>0.84955837173579107</v>
      </c>
      <c r="F162" s="68">
        <f>IFERROR(E162-C162,0)</f>
        <v>4.7043010752687575E-3</v>
      </c>
      <c r="G162" s="11">
        <f>IFERROR(G161/G160,0)</f>
        <v>0.29953917050691242</v>
      </c>
      <c r="H162" s="68">
        <f>IFERROR(E162-G162,0)</f>
        <v>0.55001920122887871</v>
      </c>
      <c r="I162" s="20">
        <f>IFERROR(E162/C162-1,0)</f>
        <v>5.5681818181816389E-3</v>
      </c>
      <c r="J162" s="11">
        <f>IFERROR(E162/G162-1,0)</f>
        <v>1.8362179487179486</v>
      </c>
      <c r="K162" s="12">
        <f>IFERROR(K161/K160,0)</f>
        <v>0.84955837173579107</v>
      </c>
      <c r="L162" s="68">
        <f>IFERROR(E162-K162,0)</f>
        <v>0</v>
      </c>
      <c r="M162" s="73"/>
      <c r="N162" s="74"/>
    </row>
    <row r="163" spans="1:14" s="27" customFormat="1" ht="5.0999999999999996" customHeight="1" thickBot="1" x14ac:dyDescent="0.35">
      <c r="A163" s="5"/>
      <c r="B163" s="6"/>
      <c r="C163" s="7"/>
      <c r="D163" s="13"/>
      <c r="E163" s="14"/>
      <c r="F163" s="67"/>
      <c r="G163" s="13"/>
      <c r="H163" s="67"/>
      <c r="I163" s="21"/>
      <c r="J163" s="22"/>
      <c r="K163" s="54"/>
      <c r="L163" s="67"/>
      <c r="M163" s="73"/>
      <c r="N163" s="74"/>
    </row>
    <row r="164" spans="1:14" s="27" customFormat="1" ht="15" customHeight="1" thickBot="1" x14ac:dyDescent="0.35">
      <c r="A164" s="5"/>
      <c r="B164" s="6" t="s">
        <v>11</v>
      </c>
      <c r="C164" s="45">
        <v>14232.5</v>
      </c>
      <c r="D164" s="45">
        <v>13886</v>
      </c>
      <c r="E164" s="46">
        <v>13886</v>
      </c>
      <c r="F164" s="67">
        <f>IFERROR(E164-C164,0)</f>
        <v>-346.5</v>
      </c>
      <c r="G164" s="45">
        <v>5113</v>
      </c>
      <c r="H164" s="67">
        <f>IFERROR(E164-G164,0)</f>
        <v>8773</v>
      </c>
      <c r="I164" s="21"/>
      <c r="J164" s="22"/>
      <c r="K164" s="52">
        <v>13886</v>
      </c>
      <c r="L164" s="67">
        <f>IFERROR(E164-K164,0)</f>
        <v>0</v>
      </c>
      <c r="M164" s="73"/>
      <c r="N164" s="74"/>
    </row>
    <row r="165" spans="1:14" s="27" customFormat="1" ht="15" customHeight="1" thickBot="1" x14ac:dyDescent="0.35">
      <c r="A165" s="5"/>
      <c r="B165" s="6" t="s">
        <v>12</v>
      </c>
      <c r="C165" s="15">
        <f>IFERROR(C164/C161,0)</f>
        <v>1.6173295454545455</v>
      </c>
      <c r="D165" s="15">
        <f>IFERROR(D164/D161,0)</f>
        <v>1.5692168606622217</v>
      </c>
      <c r="E165" s="15">
        <f>IFERROR(E164/E161,0)</f>
        <v>1.5692168606622217</v>
      </c>
      <c r="F165" s="69">
        <f>IFERROR(E165-C165,0)</f>
        <v>-4.811268479232389E-2</v>
      </c>
      <c r="G165" s="15">
        <f>IFERROR(G164/G161,0)</f>
        <v>1.6387820512820512</v>
      </c>
      <c r="H165" s="69">
        <f>IFERROR(E165-G165,0)</f>
        <v>-6.9565190619829576E-2</v>
      </c>
      <c r="I165" s="21"/>
      <c r="J165" s="22"/>
      <c r="K165" s="55">
        <f>IFERROR(K164/K161,0)</f>
        <v>1.5692168606622217</v>
      </c>
      <c r="L165" s="69">
        <f>IFERROR(E165-K165,0)</f>
        <v>0</v>
      </c>
      <c r="M165" s="73"/>
      <c r="N165" s="74"/>
    </row>
    <row r="166" spans="1:14" s="27" customFormat="1" ht="5.0999999999999996" customHeight="1" thickBot="1" x14ac:dyDescent="0.35">
      <c r="A166" s="5"/>
      <c r="B166" s="6"/>
      <c r="C166" s="7"/>
      <c r="D166" s="13"/>
      <c r="E166" s="14"/>
      <c r="F166" s="69"/>
      <c r="G166" s="13"/>
      <c r="H166" s="69"/>
      <c r="I166" s="21"/>
      <c r="J166" s="22"/>
      <c r="K166" s="54"/>
      <c r="L166" s="69"/>
      <c r="M166" s="73"/>
      <c r="N166" s="74"/>
    </row>
    <row r="167" spans="1:14" s="27" customFormat="1" ht="15" customHeight="1" thickBot="1" x14ac:dyDescent="0.35">
      <c r="A167" s="5"/>
      <c r="B167" s="6" t="s">
        <v>13</v>
      </c>
      <c r="C167" s="15">
        <f>IFERROR(C156/C161,0)</f>
        <v>103.65357727272728</v>
      </c>
      <c r="D167" s="15">
        <f>IFERROR(D156/D161,0)</f>
        <v>83.790067804271629</v>
      </c>
      <c r="E167" s="15">
        <f>IFERROR(E156/E161,0)</f>
        <v>83.790067804271629</v>
      </c>
      <c r="F167" s="69">
        <f>IFERROR(E167-C167,0)</f>
        <v>-19.863509468455646</v>
      </c>
      <c r="G167" s="15">
        <f>IFERROR(G156/G161,0)</f>
        <v>62.848413461538456</v>
      </c>
      <c r="H167" s="69">
        <f>IFERROR(E167-G167,0)</f>
        <v>20.941654342733173</v>
      </c>
      <c r="I167" s="21">
        <f>IFERROR(E167/C167-1,0)</f>
        <v>-0.19163361256883527</v>
      </c>
      <c r="J167" s="22">
        <f>IFERROR(E167/G167-1,0)</f>
        <v>0.33320895770183445</v>
      </c>
      <c r="K167" s="55">
        <f>IFERROR(K156/K161,0)</f>
        <v>83.790067804271629</v>
      </c>
      <c r="L167" s="69">
        <f>IFERROR(E167-K167,0)</f>
        <v>0</v>
      </c>
      <c r="M167" s="73"/>
      <c r="N167" s="74"/>
    </row>
    <row r="168" spans="1:14" s="38" customFormat="1" ht="15" customHeight="1" thickBot="1" x14ac:dyDescent="0.35">
      <c r="A168" s="9"/>
      <c r="B168" s="10" t="s">
        <v>14</v>
      </c>
      <c r="C168" s="16">
        <f>IFERROR(C156/C160,0)</f>
        <v>87.572146697388632</v>
      </c>
      <c r="D168" s="16">
        <f>IFERROR(D156/D160,0)</f>
        <v>71.184553571428538</v>
      </c>
      <c r="E168" s="16">
        <f>IFERROR(E156/E160,0)</f>
        <v>71.184553571428538</v>
      </c>
      <c r="F168" s="70">
        <f t="shared" ref="F168:F169" si="64">IFERROR(E168-C168,0)</f>
        <v>-16.387593125960095</v>
      </c>
      <c r="G168" s="16">
        <f>IFERROR(G156/G160,0)</f>
        <v>18.825561635944698</v>
      </c>
      <c r="H168" s="70">
        <f t="shared" ref="H168:H169" si="65">IFERROR(E168-G168,0)</f>
        <v>52.358991935483843</v>
      </c>
      <c r="I168" s="20">
        <f>IFERROR(E168/C168-1,0)</f>
        <v>-0.18713248154791173</v>
      </c>
      <c r="J168" s="11">
        <f>IFERROR(E168/G168-1,0)</f>
        <v>2.7812711752254917</v>
      </c>
      <c r="K168" s="56">
        <f>IFERROR(K156/K160,0)</f>
        <v>71.184553571428538</v>
      </c>
      <c r="L168" s="70">
        <f>IFERROR(E168-K168,0)</f>
        <v>0</v>
      </c>
      <c r="M168" s="73"/>
      <c r="N168" s="74"/>
    </row>
    <row r="169" spans="1:14" ht="15" customHeight="1" thickBot="1" x14ac:dyDescent="0.35">
      <c r="A169" s="17"/>
      <c r="B169" s="18" t="s">
        <v>34</v>
      </c>
      <c r="C169" s="19">
        <f>IFERROR(C155/C161,0)</f>
        <v>154.24551534345403</v>
      </c>
      <c r="D169" s="19">
        <f>IFERROR(D155/D161,0)</f>
        <v>133.48721437450553</v>
      </c>
      <c r="E169" s="19">
        <f>IFERROR(E155/E161,0)</f>
        <v>133.48721437450553</v>
      </c>
      <c r="F169" s="72">
        <f t="shared" si="64"/>
        <v>-20.758300968948504</v>
      </c>
      <c r="G169" s="19">
        <f>IFERROR(G155/G161,0)</f>
        <v>146.47923397435892</v>
      </c>
      <c r="H169" s="72">
        <f t="shared" si="65"/>
        <v>-12.992019599853393</v>
      </c>
      <c r="I169" s="25">
        <f>IFERROR(E169/C169-1,0)</f>
        <v>-0.13457960785911083</v>
      </c>
      <c r="J169" s="26">
        <f>IFERROR(E169/G169-1,0)</f>
        <v>-8.8695299991312315E-2</v>
      </c>
      <c r="K169" s="57">
        <f>IFERROR(K155/K161,0)</f>
        <v>133.48721437450558</v>
      </c>
      <c r="L169" s="72">
        <f>IFERROR(E169-K169,0)</f>
        <v>-5.6843418860808015E-14</v>
      </c>
      <c r="M169" s="73"/>
      <c r="N169" s="74"/>
    </row>
    <row r="170" spans="1:14" s="27" customFormat="1" ht="15" customHeight="1" thickBot="1" x14ac:dyDescent="0.35">
      <c r="A170" s="1"/>
      <c r="B170" s="2" t="s">
        <v>19</v>
      </c>
      <c r="C170" s="3">
        <f>SUM(C171:C173)</f>
        <v>1396194.8968061905</v>
      </c>
      <c r="D170" s="3">
        <f>SUM(D171:D173)</f>
        <v>778649.38907357748</v>
      </c>
      <c r="E170" s="4">
        <f>SUM(E171:E173)</f>
        <v>810734.55496268882</v>
      </c>
      <c r="F170" s="71">
        <f>IFERROR(SUM(F171:F173),0)</f>
        <v>-585460.34184350166</v>
      </c>
      <c r="G170" s="3">
        <f>SUM(G171:G173)</f>
        <v>40908</v>
      </c>
      <c r="H170" s="71">
        <f>IFERROR(E170-G170,0)</f>
        <v>769826.55496268882</v>
      </c>
      <c r="I170" s="20">
        <f>IFERROR(E170/C170-1,0)</f>
        <v>-0.41932565659905219</v>
      </c>
      <c r="J170" s="11">
        <f>IFERROR(E170/G170-1,0)</f>
        <v>18.818484280890996</v>
      </c>
      <c r="K170" s="51">
        <f>SUM(K171:K173)</f>
        <v>932609.48152723536</v>
      </c>
      <c r="L170" s="71">
        <f>IFERROR(SUM(L171:L173),0)</f>
        <v>-121874.92656454665</v>
      </c>
      <c r="M170" s="73"/>
      <c r="N170" s="74"/>
    </row>
    <row r="171" spans="1:14" s="27" customFormat="1" ht="15" customHeight="1" thickBot="1" x14ac:dyDescent="0.35">
      <c r="A171" s="5"/>
      <c r="B171" s="6" t="s">
        <v>5</v>
      </c>
      <c r="C171" s="45">
        <v>859104</v>
      </c>
      <c r="D171" s="45">
        <v>488431.31435283279</v>
      </c>
      <c r="E171" s="45">
        <v>475467.55409345793</v>
      </c>
      <c r="F171" s="67">
        <f>IFERROR(E171-C171,0)</f>
        <v>-383636.44590654207</v>
      </c>
      <c r="G171" s="45">
        <v>-2203.19</v>
      </c>
      <c r="H171" s="67">
        <f t="shared" ref="H171:H173" si="66">IFERROR(E171-G171,0)</f>
        <v>477670.74409345794</v>
      </c>
      <c r="I171" s="21">
        <f t="shared" ref="I171:I173" si="67">IFERROR(E171/C171-1,0)</f>
        <v>-0.44655413769059638</v>
      </c>
      <c r="J171" s="22">
        <f t="shared" ref="J171:J173" si="68">IFERROR(E171/G171-1,0)</f>
        <v>-216.80869289233246</v>
      </c>
      <c r="K171" s="52">
        <v>593779.51699999999</v>
      </c>
      <c r="L171" s="67">
        <f>IFERROR(E171-K171,0)</f>
        <v>-118311.96290654206</v>
      </c>
      <c r="M171" s="73"/>
      <c r="N171" s="74"/>
    </row>
    <row r="172" spans="1:14" s="27" customFormat="1" ht="15" customHeight="1" thickBot="1" x14ac:dyDescent="0.35">
      <c r="A172" s="5"/>
      <c r="B172" s="6" t="s">
        <v>6</v>
      </c>
      <c r="C172" s="45">
        <v>324445.88033560215</v>
      </c>
      <c r="D172" s="45">
        <v>163825.4058500932</v>
      </c>
      <c r="E172" s="45">
        <v>160638.36836923077</v>
      </c>
      <c r="F172" s="67">
        <f t="shared" ref="F172:F173" si="69">IFERROR(E172-C172,0)</f>
        <v>-163807.51196637138</v>
      </c>
      <c r="G172" s="45">
        <v>-320.94</v>
      </c>
      <c r="H172" s="67">
        <f t="shared" si="66"/>
        <v>160959.30836923077</v>
      </c>
      <c r="I172" s="21">
        <f t="shared" si="67"/>
        <v>-0.50488393255889474</v>
      </c>
      <c r="J172" s="22">
        <f t="shared" si="68"/>
        <v>-501.5246101116432</v>
      </c>
      <c r="K172" s="52">
        <v>209278.0521322774</v>
      </c>
      <c r="L172" s="67">
        <f>IFERROR(E172-K172,0)</f>
        <v>-48639.683763046633</v>
      </c>
      <c r="M172" s="73"/>
      <c r="N172" s="74"/>
    </row>
    <row r="173" spans="1:14" s="27" customFormat="1" ht="15" customHeight="1" thickBot="1" x14ac:dyDescent="0.35">
      <c r="A173" s="5"/>
      <c r="B173" s="6" t="s">
        <v>7</v>
      </c>
      <c r="C173" s="45">
        <v>212645.01647058819</v>
      </c>
      <c r="D173" s="45">
        <v>126392.66887065148</v>
      </c>
      <c r="E173" s="45">
        <v>174628.63250000001</v>
      </c>
      <c r="F173" s="67">
        <f t="shared" si="69"/>
        <v>-38016.383970588184</v>
      </c>
      <c r="G173" s="45">
        <v>43432.13</v>
      </c>
      <c r="H173" s="67">
        <f t="shared" si="66"/>
        <v>131196.5025</v>
      </c>
      <c r="I173" s="21">
        <f t="shared" si="67"/>
        <v>-0.17877862647134446</v>
      </c>
      <c r="J173" s="22">
        <f t="shared" si="68"/>
        <v>3.0207245764828947</v>
      </c>
      <c r="K173" s="52">
        <v>129551.91239495797</v>
      </c>
      <c r="L173" s="67">
        <f>IFERROR(E173-K173,0)</f>
        <v>45076.720105042041</v>
      </c>
      <c r="M173" s="73"/>
      <c r="N173" s="74"/>
    </row>
    <row r="174" spans="1:14" s="27" customFormat="1" ht="5.0999999999999996" customHeight="1" thickBot="1" x14ac:dyDescent="0.35">
      <c r="A174" s="5"/>
      <c r="B174" s="6"/>
      <c r="C174" s="7"/>
      <c r="D174" s="7"/>
      <c r="E174" s="8"/>
      <c r="F174" s="67"/>
      <c r="G174" s="7"/>
      <c r="H174" s="67"/>
      <c r="I174" s="21"/>
      <c r="J174" s="21"/>
      <c r="K174" s="53"/>
      <c r="L174" s="67"/>
      <c r="M174" s="73"/>
      <c r="N174" s="74"/>
    </row>
    <row r="175" spans="1:14" s="27" customFormat="1" ht="15" customHeight="1" thickBot="1" x14ac:dyDescent="0.35">
      <c r="A175" s="5"/>
      <c r="B175" s="6" t="s">
        <v>8</v>
      </c>
      <c r="C175" s="45">
        <v>10080</v>
      </c>
      <c r="D175" s="45">
        <v>10080</v>
      </c>
      <c r="E175" s="46">
        <v>10080</v>
      </c>
      <c r="F175" s="67">
        <f>IFERROR(E175-C175,0)</f>
        <v>0</v>
      </c>
      <c r="G175" s="45">
        <v>10080</v>
      </c>
      <c r="H175" s="67">
        <f>IFERROR(E175-G175,0)</f>
        <v>0</v>
      </c>
      <c r="I175" s="23"/>
      <c r="J175" s="24"/>
      <c r="K175" s="52">
        <v>10080</v>
      </c>
      <c r="L175" s="67">
        <f>IFERROR(E175-K175,0)</f>
        <v>0</v>
      </c>
      <c r="M175" s="73"/>
      <c r="N175" s="74"/>
    </row>
    <row r="176" spans="1:14" s="27" customFormat="1" ht="15" customHeight="1" thickBot="1" x14ac:dyDescent="0.35">
      <c r="A176" s="5"/>
      <c r="B176" s="6" t="s">
        <v>9</v>
      </c>
      <c r="C176" s="45">
        <v>8400</v>
      </c>
      <c r="D176" s="45">
        <v>5528</v>
      </c>
      <c r="E176" s="46">
        <v>5425</v>
      </c>
      <c r="F176" s="67">
        <f>IFERROR(E176-C176,0)</f>
        <v>-2975</v>
      </c>
      <c r="G176" s="45">
        <v>0</v>
      </c>
      <c r="H176" s="67">
        <f>IFERROR(E176-G176,0)</f>
        <v>5425</v>
      </c>
      <c r="I176" s="23"/>
      <c r="J176" s="24"/>
      <c r="K176" s="52">
        <v>6625</v>
      </c>
      <c r="L176" s="67">
        <f>IFERROR(E176-K176,0)</f>
        <v>-1200</v>
      </c>
      <c r="M176" s="73"/>
      <c r="N176" s="74"/>
    </row>
    <row r="177" spans="1:14" s="38" customFormat="1" ht="15" customHeight="1" thickBot="1" x14ac:dyDescent="0.35">
      <c r="A177" s="9"/>
      <c r="B177" s="10" t="s">
        <v>10</v>
      </c>
      <c r="C177" s="11">
        <f>IFERROR(C176/C175,0)</f>
        <v>0.83333333333333337</v>
      </c>
      <c r="D177" s="11">
        <f>IFERROR(D176/D175,0)</f>
        <v>0.54841269841269846</v>
      </c>
      <c r="E177" s="11">
        <f>IFERROR(E176/E175,0)</f>
        <v>0.53819444444444442</v>
      </c>
      <c r="F177" s="68">
        <f>IFERROR(E177-C177,0)</f>
        <v>-0.29513888888888895</v>
      </c>
      <c r="G177" s="11">
        <f>IFERROR(G176/G175,0)</f>
        <v>0</v>
      </c>
      <c r="H177" s="68">
        <f>IFERROR(E177-G177,0)</f>
        <v>0.53819444444444442</v>
      </c>
      <c r="I177" s="20">
        <f>IFERROR(E177/C177-1,0)</f>
        <v>-0.35416666666666674</v>
      </c>
      <c r="J177" s="11">
        <f>IFERROR(E177/G177-1,0)</f>
        <v>0</v>
      </c>
      <c r="K177" s="12">
        <f>IFERROR(K176/K175,0)</f>
        <v>0.65724206349206349</v>
      </c>
      <c r="L177" s="68">
        <f>IFERROR(E177-K177,0)</f>
        <v>-0.11904761904761907</v>
      </c>
      <c r="M177" s="73"/>
      <c r="N177" s="74"/>
    </row>
    <row r="178" spans="1:14" s="27" customFormat="1" ht="5.0999999999999996" customHeight="1" thickBot="1" x14ac:dyDescent="0.35">
      <c r="A178" s="5"/>
      <c r="B178" s="6"/>
      <c r="C178" s="7"/>
      <c r="D178" s="13"/>
      <c r="E178" s="14"/>
      <c r="F178" s="67"/>
      <c r="G178" s="13"/>
      <c r="H178" s="67"/>
      <c r="I178" s="21"/>
      <c r="J178" s="22"/>
      <c r="K178" s="54"/>
      <c r="L178" s="67"/>
      <c r="M178" s="73"/>
      <c r="N178" s="74"/>
    </row>
    <row r="179" spans="1:14" s="27" customFormat="1" ht="15" customHeight="1" thickBot="1" x14ac:dyDescent="0.35">
      <c r="A179" s="5"/>
      <c r="B179" s="6" t="s">
        <v>11</v>
      </c>
      <c r="C179" s="45">
        <v>12043</v>
      </c>
      <c r="D179" s="45">
        <v>8546</v>
      </c>
      <c r="E179" s="46">
        <v>8051.6238461538451</v>
      </c>
      <c r="F179" s="67">
        <f>IFERROR(E179-C179,0)</f>
        <v>-3991.3761538461549</v>
      </c>
      <c r="G179" s="45">
        <v>0</v>
      </c>
      <c r="H179" s="67">
        <f>IFERROR(E179-G179,0)</f>
        <v>8051.6238461538451</v>
      </c>
      <c r="I179" s="21"/>
      <c r="J179" s="22"/>
      <c r="K179" s="52">
        <v>9607.25</v>
      </c>
      <c r="L179" s="67">
        <f>IFERROR(E179-K179,0)</f>
        <v>-1555.6261538461549</v>
      </c>
      <c r="M179" s="73"/>
      <c r="N179" s="74"/>
    </row>
    <row r="180" spans="1:14" s="27" customFormat="1" ht="15" customHeight="1" thickBot="1" x14ac:dyDescent="0.35">
      <c r="A180" s="5"/>
      <c r="B180" s="6" t="s">
        <v>12</v>
      </c>
      <c r="C180" s="15">
        <f>IFERROR(C179/C176,0)</f>
        <v>1.4336904761904763</v>
      </c>
      <c r="D180" s="15">
        <f>IFERROR(D179/D176,0)</f>
        <v>1.5459479015918958</v>
      </c>
      <c r="E180" s="15">
        <f>IFERROR(E179/E176,0)</f>
        <v>1.4841702942219068</v>
      </c>
      <c r="F180" s="69">
        <f>IFERROR(E180-C180,0)</f>
        <v>5.0479818031430534E-2</v>
      </c>
      <c r="G180" s="15">
        <f>IFERROR(G179/G176,0)</f>
        <v>0</v>
      </c>
      <c r="H180" s="69">
        <f>IFERROR(E180-G180,0)</f>
        <v>1.4841702942219068</v>
      </c>
      <c r="I180" s="21"/>
      <c r="J180" s="22"/>
      <c r="K180" s="55">
        <f>IFERROR(K179/K176,0)</f>
        <v>1.4501509433962265</v>
      </c>
      <c r="L180" s="69">
        <f>IFERROR(E180-K180,0)</f>
        <v>3.4019350825680306E-2</v>
      </c>
      <c r="M180" s="73"/>
      <c r="N180" s="74"/>
    </row>
    <row r="181" spans="1:14" s="27" customFormat="1" ht="5.0999999999999996" customHeight="1" thickBot="1" x14ac:dyDescent="0.35">
      <c r="A181" s="5"/>
      <c r="B181" s="6"/>
      <c r="C181" s="7"/>
      <c r="D181" s="13"/>
      <c r="E181" s="14"/>
      <c r="F181" s="69"/>
      <c r="G181" s="13"/>
      <c r="H181" s="69"/>
      <c r="I181" s="21"/>
      <c r="J181" s="22"/>
      <c r="K181" s="54"/>
      <c r="L181" s="69"/>
      <c r="M181" s="73"/>
      <c r="N181" s="74"/>
    </row>
    <row r="182" spans="1:14" s="27" customFormat="1" ht="15" customHeight="1" thickBot="1" x14ac:dyDescent="0.35">
      <c r="A182" s="5"/>
      <c r="B182" s="6" t="s">
        <v>13</v>
      </c>
      <c r="C182" s="15">
        <f>IFERROR(C171/C176,0)</f>
        <v>102.27428571428571</v>
      </c>
      <c r="D182" s="15">
        <f>IFERROR(D171/D176,0)</f>
        <v>88.355881757024747</v>
      </c>
      <c r="E182" s="15">
        <f>IFERROR(E171/E176,0)</f>
        <v>87.643788772987634</v>
      </c>
      <c r="F182" s="69">
        <f>IFERROR(E182-C182,0)</f>
        <v>-14.630496941298077</v>
      </c>
      <c r="G182" s="15">
        <f>IFERROR(G171/G176,0)</f>
        <v>0</v>
      </c>
      <c r="H182" s="69">
        <f>IFERROR(E182-G182,0)</f>
        <v>87.643788772987634</v>
      </c>
      <c r="I182" s="21">
        <f>IFERROR(E182/C182-1,0)</f>
        <v>-0.14305156803705243</v>
      </c>
      <c r="J182" s="22">
        <f>IFERROR(E182/G182-1,0)</f>
        <v>0</v>
      </c>
      <c r="K182" s="55">
        <f>IFERROR(K171/K176,0)</f>
        <v>89.62709690566038</v>
      </c>
      <c r="L182" s="69">
        <f>IFERROR(E182-K182,0)</f>
        <v>-1.9833081326727466</v>
      </c>
      <c r="M182" s="73"/>
      <c r="N182" s="74"/>
    </row>
    <row r="183" spans="1:14" s="38" customFormat="1" ht="15" customHeight="1" thickBot="1" x14ac:dyDescent="0.35">
      <c r="A183" s="9"/>
      <c r="B183" s="10" t="s">
        <v>14</v>
      </c>
      <c r="C183" s="16">
        <f>IFERROR(C171/C175,0)</f>
        <v>85.228571428571428</v>
      </c>
      <c r="D183" s="16">
        <f>IFERROR(D171/D175,0)</f>
        <v>48.45548753500325</v>
      </c>
      <c r="E183" s="16">
        <f>IFERROR(E171/E175,0)</f>
        <v>47.169400207684319</v>
      </c>
      <c r="F183" s="70">
        <f t="shared" ref="F183:F184" si="70">IFERROR(E183-C183,0)</f>
        <v>-38.059171220887109</v>
      </c>
      <c r="G183" s="16">
        <f>IFERROR(G171/G175,0)</f>
        <v>-0.21857043650793651</v>
      </c>
      <c r="H183" s="70">
        <f t="shared" ref="H183:H184" si="71">IFERROR(E183-G183,0)</f>
        <v>47.387970644192258</v>
      </c>
      <c r="I183" s="20">
        <f>IFERROR(E183/C183-1,0)</f>
        <v>-0.44655413769059626</v>
      </c>
      <c r="J183" s="11">
        <f>IFERROR(E183/G183-1,0)</f>
        <v>-216.80869289233246</v>
      </c>
      <c r="K183" s="56">
        <f>IFERROR(K171/K175,0)</f>
        <v>58.906698115079365</v>
      </c>
      <c r="L183" s="70">
        <f>IFERROR(E183-K183,0)</f>
        <v>-11.737297907395046</v>
      </c>
      <c r="M183" s="73"/>
      <c r="N183" s="74"/>
    </row>
    <row r="184" spans="1:14" ht="15" customHeight="1" thickBot="1" x14ac:dyDescent="0.35">
      <c r="A184" s="17"/>
      <c r="B184" s="18" t="s">
        <v>34</v>
      </c>
      <c r="C184" s="19">
        <f>IFERROR(C170/C176,0)</f>
        <v>166.21367819121315</v>
      </c>
      <c r="D184" s="19">
        <f>IFERROR(D170/D176,0)</f>
        <v>140.85553347930127</v>
      </c>
      <c r="E184" s="19">
        <f>IFERROR(E170/E176,0)</f>
        <v>149.44415759680899</v>
      </c>
      <c r="F184" s="72">
        <f t="shared" si="70"/>
        <v>-16.769520594404156</v>
      </c>
      <c r="G184" s="19">
        <f>IFERROR(G170/G176,0)</f>
        <v>0</v>
      </c>
      <c r="H184" s="72">
        <f t="shared" si="71"/>
        <v>149.44415759680899</v>
      </c>
      <c r="I184" s="25">
        <f>IFERROR(E184/C184-1,0)</f>
        <v>-0.10089133925014526</v>
      </c>
      <c r="J184" s="26">
        <f>IFERROR(E184/G184-1,0)</f>
        <v>0</v>
      </c>
      <c r="K184" s="57">
        <f>IFERROR(K170/K176,0)</f>
        <v>140.77124249467704</v>
      </c>
      <c r="L184" s="72">
        <f>IFERROR(E184-K184,0)</f>
        <v>8.6729151021319524</v>
      </c>
      <c r="M184" s="73"/>
      <c r="N184" s="74"/>
    </row>
    <row r="185" spans="1:14" s="27" customFormat="1" ht="15" customHeight="1" thickBot="1" x14ac:dyDescent="0.35">
      <c r="A185" s="1"/>
      <c r="B185" s="2" t="s">
        <v>20</v>
      </c>
      <c r="C185" s="3">
        <f>SUM(C186:C188)</f>
        <v>1048004.1989233162</v>
      </c>
      <c r="D185" s="3">
        <f>SUM(D186:D188)</f>
        <v>405935.80478546518</v>
      </c>
      <c r="E185" s="4">
        <f>SUM(E186:E188)</f>
        <v>366194.17243329837</v>
      </c>
      <c r="F185" s="71">
        <f>IFERROR(SUM(F186:F188),0)</f>
        <v>-681810.02649001777</v>
      </c>
      <c r="G185" s="3">
        <f>SUM(G186:G188)</f>
        <v>45033.05</v>
      </c>
      <c r="H185" s="71">
        <f>IFERROR(E185-G185,0)</f>
        <v>321161.12243329838</v>
      </c>
      <c r="I185" s="20">
        <f>IFERROR(E185/C185-1,0)</f>
        <v>-0.65057947972964825</v>
      </c>
      <c r="J185" s="11">
        <f>IFERROR(E185/G185-1,0)</f>
        <v>7.1316760120244655</v>
      </c>
      <c r="K185" s="51">
        <f>SUM(K186:K188)</f>
        <v>824275.76467589836</v>
      </c>
      <c r="L185" s="71">
        <f>IFERROR(SUM(L186:L188),0)</f>
        <v>-458081.59224259993</v>
      </c>
      <c r="M185" s="73"/>
      <c r="N185" s="74"/>
    </row>
    <row r="186" spans="1:14" s="27" customFormat="1" ht="15" customHeight="1" thickBot="1" x14ac:dyDescent="0.35">
      <c r="A186" s="5"/>
      <c r="B186" s="6" t="s">
        <v>5</v>
      </c>
      <c r="C186" s="45">
        <v>778172.5</v>
      </c>
      <c r="D186" s="45">
        <v>307885.25856697775</v>
      </c>
      <c r="E186" s="45">
        <v>263025.38</v>
      </c>
      <c r="F186" s="67">
        <f>IFERROR(E186-C186,0)</f>
        <v>-515147.12</v>
      </c>
      <c r="G186" s="45">
        <v>-612.24</v>
      </c>
      <c r="H186" s="67">
        <f t="shared" ref="H186:H188" si="72">IFERROR(E186-G186,0)</f>
        <v>263637.62</v>
      </c>
      <c r="I186" s="21">
        <f t="shared" ref="I186:I188" si="73">IFERROR(E186/C186-1,0)</f>
        <v>-0.66199604843399118</v>
      </c>
      <c r="J186" s="22">
        <f t="shared" ref="J186:J188" si="74">IFERROR(E186/G186-1,0)</f>
        <v>-430.61155755912716</v>
      </c>
      <c r="K186" s="52">
        <v>554092.22</v>
      </c>
      <c r="L186" s="67">
        <f>IFERROR(E186-K186,0)</f>
        <v>-291066.83999999997</v>
      </c>
      <c r="M186" s="73"/>
      <c r="N186" s="74"/>
    </row>
    <row r="187" spans="1:14" s="27" customFormat="1" ht="15" customHeight="1" thickBot="1" x14ac:dyDescent="0.35">
      <c r="A187" s="5"/>
      <c r="B187" s="6" t="s">
        <v>6</v>
      </c>
      <c r="C187" s="45">
        <v>180538.15774684559</v>
      </c>
      <c r="D187" s="45">
        <v>52130.672268907569</v>
      </c>
      <c r="E187" s="45">
        <v>52902.753872692316</v>
      </c>
      <c r="F187" s="67">
        <f t="shared" ref="F187:F188" si="75">IFERROR(E187-C187,0)</f>
        <v>-127635.40387415327</v>
      </c>
      <c r="G187" s="45">
        <v>-635.18000000000018</v>
      </c>
      <c r="H187" s="67">
        <f t="shared" si="72"/>
        <v>53537.933872692316</v>
      </c>
      <c r="I187" s="21">
        <f t="shared" si="73"/>
        <v>-0.70697189706082153</v>
      </c>
      <c r="J187" s="22">
        <f t="shared" si="74"/>
        <v>-84.287814277358066</v>
      </c>
      <c r="K187" s="52">
        <v>188157.81595932087</v>
      </c>
      <c r="L187" s="67">
        <f>IFERROR(E187-K187,0)</f>
        <v>-135255.06208662855</v>
      </c>
      <c r="M187" s="73"/>
      <c r="N187" s="74"/>
    </row>
    <row r="188" spans="1:14" s="27" customFormat="1" ht="15" customHeight="1" thickBot="1" x14ac:dyDescent="0.35">
      <c r="A188" s="5"/>
      <c r="B188" s="6" t="s">
        <v>7</v>
      </c>
      <c r="C188" s="45">
        <v>89293.541176470593</v>
      </c>
      <c r="D188" s="45">
        <v>45919.873949579836</v>
      </c>
      <c r="E188" s="45">
        <v>50266.038560606074</v>
      </c>
      <c r="F188" s="67">
        <f t="shared" si="75"/>
        <v>-39027.50261586452</v>
      </c>
      <c r="G188" s="45">
        <v>46280.47</v>
      </c>
      <c r="H188" s="67">
        <f t="shared" si="72"/>
        <v>3985.5685606060724</v>
      </c>
      <c r="I188" s="21">
        <f t="shared" si="73"/>
        <v>-0.43706971525224392</v>
      </c>
      <c r="J188" s="22">
        <f t="shared" si="74"/>
        <v>8.6117720079464943E-2</v>
      </c>
      <c r="K188" s="52">
        <v>82025.728716577549</v>
      </c>
      <c r="L188" s="67">
        <f>IFERROR(E188-K188,0)</f>
        <v>-31759.690155971475</v>
      </c>
      <c r="M188" s="73"/>
      <c r="N188" s="74"/>
    </row>
    <row r="189" spans="1:14" s="27" customFormat="1" ht="5.0999999999999996" customHeight="1" thickBot="1" x14ac:dyDescent="0.35">
      <c r="A189" s="5"/>
      <c r="B189" s="6"/>
      <c r="C189" s="7"/>
      <c r="D189" s="7"/>
      <c r="E189" s="8"/>
      <c r="F189" s="67"/>
      <c r="G189" s="7"/>
      <c r="H189" s="67"/>
      <c r="I189" s="21"/>
      <c r="J189" s="21"/>
      <c r="K189" s="53"/>
      <c r="L189" s="67"/>
      <c r="M189" s="73"/>
      <c r="N189" s="74"/>
    </row>
    <row r="190" spans="1:14" s="27" customFormat="1" ht="15" customHeight="1" thickBot="1" x14ac:dyDescent="0.35">
      <c r="A190" s="5"/>
      <c r="B190" s="6" t="s">
        <v>8</v>
      </c>
      <c r="C190" s="45">
        <v>10416</v>
      </c>
      <c r="D190" s="45">
        <v>10416</v>
      </c>
      <c r="E190" s="46">
        <v>10416</v>
      </c>
      <c r="F190" s="67">
        <f>IFERROR(E190-C190,0)</f>
        <v>0</v>
      </c>
      <c r="G190" s="45">
        <v>10416</v>
      </c>
      <c r="H190" s="67">
        <f>IFERROR(E190-G190,0)</f>
        <v>0</v>
      </c>
      <c r="I190" s="23"/>
      <c r="J190" s="24"/>
      <c r="K190" s="52">
        <v>10416</v>
      </c>
      <c r="L190" s="67">
        <f>IFERROR(E190-K190,0)</f>
        <v>0</v>
      </c>
      <c r="M190" s="73"/>
      <c r="N190" s="74"/>
    </row>
    <row r="191" spans="1:14" s="27" customFormat="1" ht="15" customHeight="1" thickBot="1" x14ac:dyDescent="0.35">
      <c r="A191" s="5"/>
      <c r="B191" s="6" t="s">
        <v>9</v>
      </c>
      <c r="C191" s="45">
        <v>8250</v>
      </c>
      <c r="D191" s="45">
        <v>3450</v>
      </c>
      <c r="E191" s="46">
        <v>2975</v>
      </c>
      <c r="F191" s="67">
        <f>IFERROR(E191-C191,0)</f>
        <v>-5275</v>
      </c>
      <c r="G191" s="45">
        <v>0</v>
      </c>
      <c r="H191" s="67">
        <f>IFERROR(E191-G191,0)</f>
        <v>2975</v>
      </c>
      <c r="I191" s="23"/>
      <c r="J191" s="24"/>
      <c r="K191" s="52">
        <v>6300</v>
      </c>
      <c r="L191" s="67">
        <f>IFERROR(E191-K191,0)</f>
        <v>-3325</v>
      </c>
      <c r="M191" s="73"/>
      <c r="N191" s="74"/>
    </row>
    <row r="192" spans="1:14" s="38" customFormat="1" ht="15" customHeight="1" thickBot="1" x14ac:dyDescent="0.35">
      <c r="A192" s="9"/>
      <c r="B192" s="10" t="s">
        <v>10</v>
      </c>
      <c r="C192" s="11">
        <f>IFERROR(C191/C190,0)</f>
        <v>0.79205069124423966</v>
      </c>
      <c r="D192" s="11">
        <f>IFERROR(D191/D190,0)</f>
        <v>0.33122119815668205</v>
      </c>
      <c r="E192" s="11">
        <f>IFERROR(E191/E190,0)</f>
        <v>0.2856182795698925</v>
      </c>
      <c r="F192" s="68">
        <f>IFERROR(E192-C192,0)</f>
        <v>-0.50643241167434716</v>
      </c>
      <c r="G192" s="11">
        <f>IFERROR(G191/G190,0)</f>
        <v>0</v>
      </c>
      <c r="H192" s="68">
        <f>IFERROR(E192-G192,0)</f>
        <v>0.2856182795698925</v>
      </c>
      <c r="I192" s="20">
        <f>IFERROR(E192/C192-1,0)</f>
        <v>-0.6393939393939394</v>
      </c>
      <c r="J192" s="11">
        <f>IFERROR(E192/G192-1,0)</f>
        <v>0</v>
      </c>
      <c r="K192" s="12">
        <f>IFERROR(K191/K190,0)</f>
        <v>0.60483870967741937</v>
      </c>
      <c r="L192" s="68">
        <f>IFERROR(E192-K192,0)</f>
        <v>-0.31922043010752688</v>
      </c>
      <c r="M192" s="73"/>
      <c r="N192" s="74"/>
    </row>
    <row r="193" spans="1:14" s="27" customFormat="1" ht="5.0999999999999996" customHeight="1" thickBot="1" x14ac:dyDescent="0.35">
      <c r="A193" s="5"/>
      <c r="B193" s="6"/>
      <c r="C193" s="7"/>
      <c r="D193" s="13"/>
      <c r="E193" s="14"/>
      <c r="F193" s="67"/>
      <c r="G193" s="13"/>
      <c r="H193" s="67"/>
      <c r="I193" s="21"/>
      <c r="J193" s="22"/>
      <c r="K193" s="54"/>
      <c r="L193" s="67"/>
      <c r="M193" s="73"/>
      <c r="N193" s="74"/>
    </row>
    <row r="194" spans="1:14" s="27" customFormat="1" ht="15" customHeight="1" thickBot="1" x14ac:dyDescent="0.35">
      <c r="A194" s="5"/>
      <c r="B194" s="6" t="s">
        <v>11</v>
      </c>
      <c r="C194" s="45">
        <v>14507.75</v>
      </c>
      <c r="D194" s="45">
        <v>6127</v>
      </c>
      <c r="E194" s="46">
        <v>5506</v>
      </c>
      <c r="F194" s="67">
        <f>IFERROR(E194-C194,0)</f>
        <v>-9001.75</v>
      </c>
      <c r="G194" s="45">
        <v>0</v>
      </c>
      <c r="H194" s="67">
        <f>IFERROR(E194-G194,0)</f>
        <v>5506</v>
      </c>
      <c r="I194" s="21"/>
      <c r="J194" s="22"/>
      <c r="K194" s="52">
        <v>11282.25</v>
      </c>
      <c r="L194" s="67">
        <f>IFERROR(E194-K194,0)</f>
        <v>-5776.25</v>
      </c>
      <c r="M194" s="73"/>
      <c r="N194" s="74"/>
    </row>
    <row r="195" spans="1:14" s="27" customFormat="1" ht="15" customHeight="1" thickBot="1" x14ac:dyDescent="0.35">
      <c r="A195" s="5"/>
      <c r="B195" s="6" t="s">
        <v>12</v>
      </c>
      <c r="C195" s="15">
        <f>IFERROR(C194/C191,0)</f>
        <v>1.7585151515151516</v>
      </c>
      <c r="D195" s="15">
        <f>IFERROR(D194/D191,0)</f>
        <v>1.7759420289855072</v>
      </c>
      <c r="E195" s="15">
        <f>IFERROR(E194/E191,0)</f>
        <v>1.8507563025210083</v>
      </c>
      <c r="F195" s="69">
        <f>IFERROR(E195-C195,0)</f>
        <v>9.2241151005856725E-2</v>
      </c>
      <c r="G195" s="15">
        <f>IFERROR(G194/G191,0)</f>
        <v>0</v>
      </c>
      <c r="H195" s="69">
        <f>IFERROR(E195-G195,0)</f>
        <v>1.8507563025210083</v>
      </c>
      <c r="I195" s="21"/>
      <c r="J195" s="22"/>
      <c r="K195" s="55">
        <f>IFERROR(K194/K191,0)</f>
        <v>1.7908333333333333</v>
      </c>
      <c r="L195" s="69">
        <f>IFERROR(E195-K195,0)</f>
        <v>5.9922969187675035E-2</v>
      </c>
      <c r="M195" s="73"/>
      <c r="N195" s="74"/>
    </row>
    <row r="196" spans="1:14" s="27" customFormat="1" ht="5.0999999999999996" customHeight="1" thickBot="1" x14ac:dyDescent="0.35">
      <c r="A196" s="5"/>
      <c r="B196" s="6"/>
      <c r="C196" s="7"/>
      <c r="D196" s="13"/>
      <c r="E196" s="14"/>
      <c r="F196" s="69"/>
      <c r="G196" s="13"/>
      <c r="H196" s="69"/>
      <c r="I196" s="21"/>
      <c r="J196" s="22"/>
      <c r="K196" s="54"/>
      <c r="L196" s="69"/>
      <c r="M196" s="73"/>
      <c r="N196" s="74"/>
    </row>
    <row r="197" spans="1:14" s="27" customFormat="1" ht="15" customHeight="1" thickBot="1" x14ac:dyDescent="0.35">
      <c r="A197" s="5"/>
      <c r="B197" s="6" t="s">
        <v>13</v>
      </c>
      <c r="C197" s="15">
        <f>IFERROR(C186/C191,0)</f>
        <v>94.323939393939398</v>
      </c>
      <c r="D197" s="15">
        <f>IFERROR(D186/D191,0)</f>
        <v>89.242103932457312</v>
      </c>
      <c r="E197" s="15">
        <f>IFERROR(E186/E191,0)</f>
        <v>88.411892436974796</v>
      </c>
      <c r="F197" s="69">
        <f>IFERROR(E197-C197,0)</f>
        <v>-5.9120469569646019</v>
      </c>
      <c r="G197" s="15">
        <f>IFERROR(G186/G191,0)</f>
        <v>0</v>
      </c>
      <c r="H197" s="69">
        <f>IFERROR(E197-G197,0)</f>
        <v>88.411892436974796</v>
      </c>
      <c r="I197" s="21">
        <f>IFERROR(E197/C197-1,0)</f>
        <v>-6.2678117506025921E-2</v>
      </c>
      <c r="J197" s="22">
        <f>IFERROR(E197/G197-1,0)</f>
        <v>0</v>
      </c>
      <c r="K197" s="55">
        <f>IFERROR(K186/K191,0)</f>
        <v>87.951146031746021</v>
      </c>
      <c r="L197" s="69">
        <f>IFERROR(E197-K197,0)</f>
        <v>0.4607464052287753</v>
      </c>
      <c r="M197" s="73"/>
      <c r="N197" s="74"/>
    </row>
    <row r="198" spans="1:14" s="38" customFormat="1" ht="15" customHeight="1" thickBot="1" x14ac:dyDescent="0.35">
      <c r="A198" s="9"/>
      <c r="B198" s="10" t="s">
        <v>14</v>
      </c>
      <c r="C198" s="16">
        <f>IFERROR(C186/C190,0)</f>
        <v>74.709341397849457</v>
      </c>
      <c r="D198" s="16">
        <f>IFERROR(D186/D190,0)</f>
        <v>29.558876590531657</v>
      </c>
      <c r="E198" s="16">
        <f>IFERROR(E186/E190,0)</f>
        <v>25.252052611367127</v>
      </c>
      <c r="F198" s="70">
        <f t="shared" ref="F198:F199" si="76">IFERROR(E198-C198,0)</f>
        <v>-49.45728878648233</v>
      </c>
      <c r="G198" s="16">
        <f>IFERROR(G186/G190,0)</f>
        <v>-5.8778801843317977E-2</v>
      </c>
      <c r="H198" s="70">
        <f t="shared" ref="H198:H199" si="77">IFERROR(E198-G198,0)</f>
        <v>25.310831413210444</v>
      </c>
      <c r="I198" s="20">
        <f>IFERROR(E198/C198-1,0)</f>
        <v>-0.66199604843399118</v>
      </c>
      <c r="J198" s="11">
        <f>IFERROR(E198/G198-1,0)</f>
        <v>-430.61155755912711</v>
      </c>
      <c r="K198" s="56">
        <f>IFERROR(K186/K190,0)</f>
        <v>53.196257680491549</v>
      </c>
      <c r="L198" s="70">
        <f>IFERROR(E198-K198,0)</f>
        <v>-27.944205069124422</v>
      </c>
      <c r="M198" s="73"/>
      <c r="N198" s="74"/>
    </row>
    <row r="199" spans="1:14" ht="15" customHeight="1" thickBot="1" x14ac:dyDescent="0.35">
      <c r="A199" s="17"/>
      <c r="B199" s="18" t="s">
        <v>34</v>
      </c>
      <c r="C199" s="19">
        <f>IFERROR(C185/C191,0)</f>
        <v>127.03081199070499</v>
      </c>
      <c r="D199" s="19">
        <f>IFERROR(D185/D191,0)</f>
        <v>117.66255211172904</v>
      </c>
      <c r="E199" s="19">
        <f>IFERROR(E185/E191,0)</f>
        <v>123.09047812883979</v>
      </c>
      <c r="F199" s="72">
        <f t="shared" si="76"/>
        <v>-3.9403338618651986</v>
      </c>
      <c r="G199" s="19">
        <f>IFERROR(G185/G191,0)</f>
        <v>0</v>
      </c>
      <c r="H199" s="72">
        <f t="shared" si="77"/>
        <v>123.09047812883979</v>
      </c>
      <c r="I199" s="25">
        <f>IFERROR(E199/C199-1,0)</f>
        <v>-3.1018725300705152E-2</v>
      </c>
      <c r="J199" s="26">
        <f>IFERROR(E199/G199-1,0)</f>
        <v>0</v>
      </c>
      <c r="K199" s="57">
        <f>IFERROR(K185/K191,0)</f>
        <v>130.8374229644283</v>
      </c>
      <c r="L199" s="72">
        <f>IFERROR(E199-K199,0)</f>
        <v>-7.7469448355885078</v>
      </c>
      <c r="M199" s="73"/>
      <c r="N199" s="74"/>
    </row>
    <row r="200" spans="1:14" s="27" customFormat="1" ht="15" customHeight="1" thickBot="1" x14ac:dyDescent="0.35">
      <c r="A200" s="43" t="s">
        <v>27</v>
      </c>
      <c r="B200" s="44" t="s">
        <v>20</v>
      </c>
      <c r="C200" s="3">
        <f t="shared" ref="C200" si="78">SUM(C201:C203)</f>
        <v>11907127.428388361</v>
      </c>
      <c r="D200" s="3">
        <f t="shared" ref="D200:E200" si="79">SUM(D201:D203)</f>
        <v>4946809.2438590424</v>
      </c>
      <c r="E200" s="3">
        <f t="shared" si="79"/>
        <v>4939152.777395987</v>
      </c>
      <c r="F200" s="71">
        <f>IFERROR(SUM(F201:F203),0)</f>
        <v>-6967974.6509923758</v>
      </c>
      <c r="G200" s="3">
        <f t="shared" ref="G200" si="80">SUM(G201:G203)</f>
        <v>5581158.7199999997</v>
      </c>
      <c r="H200" s="71">
        <f>IFERROR(E200-G200,0)</f>
        <v>-642005.94260401279</v>
      </c>
      <c r="I200" s="20">
        <f>IFERROR(E200/C200-1,0)</f>
        <v>-0.58519359038517438</v>
      </c>
      <c r="J200" s="11">
        <f>IFERROR(E200/G200-1,0)</f>
        <v>-0.11503094156835103</v>
      </c>
      <c r="K200" s="51">
        <f t="shared" ref="K200" si="81">SUM(K201:K203)</f>
        <v>5519109.2962031337</v>
      </c>
      <c r="L200" s="71">
        <f>IFERROR(SUM(L201:L203),0)</f>
        <v>-579956.51880714716</v>
      </c>
      <c r="M200" s="73"/>
      <c r="N200" s="74"/>
    </row>
    <row r="201" spans="1:14" s="27" customFormat="1" ht="15" customHeight="1" thickBot="1" x14ac:dyDescent="0.35">
      <c r="A201" s="5"/>
      <c r="B201" s="6" t="s">
        <v>5</v>
      </c>
      <c r="C201" s="45">
        <f t="shared" ref="C201:E203" si="82">C186+C171+C156+C141+C126+C111+C96+C81+C66+C51+C36+C21</f>
        <v>8350328.0539892595</v>
      </c>
      <c r="D201" s="45">
        <f t="shared" si="82"/>
        <v>3154358.7829198102</v>
      </c>
      <c r="E201" s="45">
        <f t="shared" si="82"/>
        <v>3096535.1440934576</v>
      </c>
      <c r="F201" s="67">
        <f>IFERROR(E201-C201,0)</f>
        <v>-5253792.9098958019</v>
      </c>
      <c r="G201" s="45">
        <f t="shared" ref="G201:G203" si="83">G186+G171+G156+G141+G126+G111+G96+G81+G66+G51+G36+G21</f>
        <v>2825953.66</v>
      </c>
      <c r="H201" s="67">
        <f t="shared" ref="H201:H203" si="84">IFERROR(E201-G201,0)</f>
        <v>270581.48409345746</v>
      </c>
      <c r="I201" s="21">
        <f t="shared" ref="I201:I203" si="85">IFERROR(E201/C201-1,0)</f>
        <v>-0.62917203682625034</v>
      </c>
      <c r="J201" s="22">
        <f t="shared" ref="J201:J203" si="86">IFERROR(E201/G201-1,0)</f>
        <v>9.5748733577413869E-2</v>
      </c>
      <c r="K201" s="52">
        <f t="shared" ref="K201:K203" si="87">K186+K171+K156+K141+K126+K111+K96+K81+K66+K51+K36+K21</f>
        <v>3505913.9469999997</v>
      </c>
      <c r="L201" s="67">
        <f>IFERROR(E201-K201,0)</f>
        <v>-409378.80290654209</v>
      </c>
      <c r="M201" s="73"/>
      <c r="N201" s="74"/>
    </row>
    <row r="202" spans="1:14" s="27" customFormat="1" ht="15" customHeight="1" thickBot="1" x14ac:dyDescent="0.35">
      <c r="A202" s="5"/>
      <c r="B202" s="6" t="s">
        <v>6</v>
      </c>
      <c r="C202" s="45">
        <f t="shared" si="82"/>
        <v>2222524.8198417393</v>
      </c>
      <c r="D202" s="45">
        <f t="shared" si="82"/>
        <v>1106709.3881190007</v>
      </c>
      <c r="E202" s="45">
        <f t="shared" si="82"/>
        <v>1104294.4322419229</v>
      </c>
      <c r="F202" s="67">
        <f t="shared" ref="F202:F203" si="88">IFERROR(E202-C202,0)</f>
        <v>-1118230.3875998163</v>
      </c>
      <c r="G202" s="45">
        <f t="shared" si="83"/>
        <v>990271.25</v>
      </c>
      <c r="H202" s="67">
        <f t="shared" si="84"/>
        <v>114023.18224192294</v>
      </c>
      <c r="I202" s="21">
        <f t="shared" si="85"/>
        <v>-0.50313516304373285</v>
      </c>
      <c r="J202" s="22">
        <f t="shared" si="86"/>
        <v>0.11514338343350161</v>
      </c>
      <c r="K202" s="52">
        <f t="shared" si="87"/>
        <v>1288189.1780915984</v>
      </c>
      <c r="L202" s="67">
        <f>IFERROR(E202-K202,0)</f>
        <v>-183894.7458496755</v>
      </c>
      <c r="M202" s="73"/>
      <c r="N202" s="74"/>
    </row>
    <row r="203" spans="1:14" s="27" customFormat="1" ht="15" customHeight="1" thickBot="1" x14ac:dyDescent="0.35">
      <c r="A203" s="5"/>
      <c r="B203" s="6" t="s">
        <v>7</v>
      </c>
      <c r="C203" s="45">
        <f t="shared" si="82"/>
        <v>1334274.5545573633</v>
      </c>
      <c r="D203" s="45">
        <f t="shared" si="82"/>
        <v>685741.07282023097</v>
      </c>
      <c r="E203" s="45">
        <f t="shared" si="82"/>
        <v>738323.20106060582</v>
      </c>
      <c r="F203" s="67">
        <f t="shared" si="88"/>
        <v>-595951.35349675745</v>
      </c>
      <c r="G203" s="45">
        <f t="shared" si="83"/>
        <v>1764933.8099999994</v>
      </c>
      <c r="H203" s="67">
        <f t="shared" si="84"/>
        <v>-1026610.6089393935</v>
      </c>
      <c r="I203" s="21">
        <f t="shared" si="85"/>
        <v>-0.44664821903499485</v>
      </c>
      <c r="J203" s="22">
        <f t="shared" si="86"/>
        <v>-0.58167088370265507</v>
      </c>
      <c r="K203" s="52">
        <f t="shared" si="87"/>
        <v>725006.1711115354</v>
      </c>
      <c r="L203" s="67">
        <f>IFERROR(E203-K203,0)</f>
        <v>13317.02994907042</v>
      </c>
      <c r="M203" s="73"/>
      <c r="N203" s="74"/>
    </row>
    <row r="204" spans="1:14" s="27" customFormat="1" ht="5.0999999999999996" customHeight="1" thickBot="1" x14ac:dyDescent="0.35">
      <c r="A204" s="5"/>
      <c r="B204" s="6"/>
      <c r="C204" s="7"/>
      <c r="D204" s="7"/>
      <c r="E204" s="8"/>
      <c r="F204" s="67"/>
      <c r="G204" s="7"/>
      <c r="H204" s="67"/>
      <c r="I204" s="21"/>
      <c r="J204" s="21"/>
      <c r="K204" s="53"/>
      <c r="L204" s="67"/>
      <c r="M204" s="73"/>
      <c r="N204" s="74"/>
    </row>
    <row r="205" spans="1:14" s="27" customFormat="1" ht="15" customHeight="1" thickBot="1" x14ac:dyDescent="0.35">
      <c r="A205" s="5"/>
      <c r="B205" s="6" t="s">
        <v>8</v>
      </c>
      <c r="C205" s="45">
        <f t="shared" ref="C205:E206" si="89">C190+C175+C160+C145+C130+C115+C100+C85+C70+C55+C40+C25</f>
        <v>122640</v>
      </c>
      <c r="D205" s="45">
        <f t="shared" si="89"/>
        <v>122640</v>
      </c>
      <c r="E205" s="46">
        <f t="shared" si="89"/>
        <v>122640</v>
      </c>
      <c r="F205" s="67">
        <f>IFERROR(E205-C205,0)</f>
        <v>0</v>
      </c>
      <c r="G205" s="45">
        <f t="shared" ref="G205:G206" si="90">G190+G175+G160+G145+G130+G115+G100+G85+G70+G55+G40+G25</f>
        <v>122976</v>
      </c>
      <c r="H205" s="67">
        <f>IFERROR(E205-G205,0)</f>
        <v>-336</v>
      </c>
      <c r="I205" s="23"/>
      <c r="J205" s="24"/>
      <c r="K205" s="52">
        <f t="shared" ref="K205:K206" si="91">K190+K175+K160+K145+K130+K115+K100+K85+K70+K55+K40+K25</f>
        <v>122640</v>
      </c>
      <c r="L205" s="67">
        <f>IFERROR(E205-K205,0)</f>
        <v>0</v>
      </c>
      <c r="M205" s="73"/>
      <c r="N205" s="74"/>
    </row>
    <row r="206" spans="1:14" s="27" customFormat="1" ht="15" customHeight="1" thickBot="1" x14ac:dyDescent="0.35">
      <c r="A206" s="5"/>
      <c r="B206" s="6" t="s">
        <v>9</v>
      </c>
      <c r="C206" s="45">
        <f t="shared" si="89"/>
        <v>85126</v>
      </c>
      <c r="D206" s="45">
        <f t="shared" si="89"/>
        <v>40044</v>
      </c>
      <c r="E206" s="46">
        <f t="shared" si="89"/>
        <v>39466</v>
      </c>
      <c r="F206" s="67">
        <f>IFERROR(E206-C206,0)</f>
        <v>-45660</v>
      </c>
      <c r="G206" s="45">
        <f t="shared" si="90"/>
        <v>36624</v>
      </c>
      <c r="H206" s="67">
        <f>IFERROR(E206-G206,0)</f>
        <v>2842</v>
      </c>
      <c r="I206" s="23"/>
      <c r="J206" s="24"/>
      <c r="K206" s="52">
        <f t="shared" si="91"/>
        <v>43991</v>
      </c>
      <c r="L206" s="67">
        <f>IFERROR(E206-K206,0)</f>
        <v>-4525</v>
      </c>
      <c r="M206" s="73"/>
      <c r="N206" s="74"/>
    </row>
    <row r="207" spans="1:14" s="38" customFormat="1" ht="15" customHeight="1" thickBot="1" x14ac:dyDescent="0.35">
      <c r="A207" s="9"/>
      <c r="B207" s="10" t="s">
        <v>10</v>
      </c>
      <c r="C207" s="11">
        <f>IFERROR(C206/C205,0)</f>
        <v>0.69411285061969996</v>
      </c>
      <c r="D207" s="11">
        <f>IFERROR(D206/D205,0)</f>
        <v>0.32651663405088061</v>
      </c>
      <c r="E207" s="11">
        <f>IFERROR(E206/E205,0)</f>
        <v>0.32180365296803654</v>
      </c>
      <c r="F207" s="68">
        <f>IFERROR(E207-C207,0)</f>
        <v>-0.37230919765166343</v>
      </c>
      <c r="G207" s="11">
        <f>IFERROR(G206/G205,0)</f>
        <v>0.29781420765027322</v>
      </c>
      <c r="H207" s="68">
        <f>IFERROR(E207-G207,0)</f>
        <v>2.3989445317763314E-2</v>
      </c>
      <c r="I207" s="20">
        <f>IFERROR(E207/C207-1,0)</f>
        <v>-0.53638136409557591</v>
      </c>
      <c r="J207" s="11">
        <f>IFERROR(E207/G207-1,0)</f>
        <v>8.0551715470654761E-2</v>
      </c>
      <c r="K207" s="12">
        <f>IFERROR(K206/K205,0)</f>
        <v>0.35870026092628832</v>
      </c>
      <c r="L207" s="68">
        <f>IFERROR(E207-K207,0)</f>
        <v>-3.6896607958251781E-2</v>
      </c>
      <c r="M207" s="73"/>
      <c r="N207" s="74"/>
    </row>
    <row r="208" spans="1:14" s="27" customFormat="1" ht="5.0999999999999996" customHeight="1" thickBot="1" x14ac:dyDescent="0.35">
      <c r="A208" s="5"/>
      <c r="B208" s="6"/>
      <c r="C208" s="7"/>
      <c r="D208" s="13"/>
      <c r="E208" s="14"/>
      <c r="F208" s="67"/>
      <c r="G208" s="13"/>
      <c r="H208" s="67"/>
      <c r="I208" s="21"/>
      <c r="J208" s="22"/>
      <c r="K208" s="54"/>
      <c r="L208" s="67"/>
      <c r="M208" s="73"/>
      <c r="N208" s="74"/>
    </row>
    <row r="209" spans="1:14" s="27" customFormat="1" ht="15" customHeight="1" thickBot="1" x14ac:dyDescent="0.35">
      <c r="A209" s="5"/>
      <c r="B209" s="6" t="s">
        <v>11</v>
      </c>
      <c r="C209" s="45">
        <f t="shared" ref="C209:E209" si="92">C194+C179+C164+C149+C134+C119+C104+C89+C74+C59+C44+C29</f>
        <v>137183.16</v>
      </c>
      <c r="D209" s="45">
        <f t="shared" si="92"/>
        <v>65369</v>
      </c>
      <c r="E209" s="46">
        <f t="shared" si="92"/>
        <v>64253.623846153845</v>
      </c>
      <c r="F209" s="67">
        <f>IFERROR(E209-C209,0)</f>
        <v>-72929.536153846158</v>
      </c>
      <c r="G209" s="45">
        <f t="shared" ref="G209" si="93">G194+G179+G164+G149+G134+G119+G104+G89+G74+G59+G44+G29</f>
        <v>59241</v>
      </c>
      <c r="H209" s="67">
        <f>IFERROR(E209-G209,0)</f>
        <v>5012.6238461538451</v>
      </c>
      <c r="I209" s="21">
        <f>IFERROR(E209/C209-1,0)</f>
        <v>-0.53162163747974722</v>
      </c>
      <c r="J209" s="22">
        <f>IFERROR(E209/G209-1,0)</f>
        <v>8.4614099123138553E-2</v>
      </c>
      <c r="K209" s="52">
        <f t="shared" ref="K209" si="94">K194+K179+K164+K149+K134+K119+K104+K89+K74+K59+K44+K29</f>
        <v>71585.5</v>
      </c>
      <c r="L209" s="67">
        <f>IFERROR(E209-K209,0)</f>
        <v>-7331.8761538461549</v>
      </c>
      <c r="M209" s="73"/>
      <c r="N209" s="74"/>
    </row>
    <row r="210" spans="1:14" s="27" customFormat="1" ht="15" customHeight="1" thickBot="1" x14ac:dyDescent="0.35">
      <c r="A210" s="5"/>
      <c r="B210" s="6" t="s">
        <v>12</v>
      </c>
      <c r="C210" s="15">
        <f>IFERROR(C209/C206,0)</f>
        <v>1.6115306721800626</v>
      </c>
      <c r="D210" s="15">
        <f>IFERROR(D209/D206,0)</f>
        <v>1.6324293277394866</v>
      </c>
      <c r="E210" s="39">
        <f>IFERROR(E209/E206,0)</f>
        <v>1.6280754027809721</v>
      </c>
      <c r="F210" s="69">
        <f>IFERROR(E210-C210,0)</f>
        <v>1.6544730600909441E-2</v>
      </c>
      <c r="G210" s="39">
        <f>IFERROR(G209/G206,0)</f>
        <v>1.6175458715596329</v>
      </c>
      <c r="H210" s="69">
        <f>IFERROR(E210-G210,0)</f>
        <v>1.052953122133915E-2</v>
      </c>
      <c r="I210" s="21"/>
      <c r="J210" s="22"/>
      <c r="K210" s="55">
        <f>IFERROR(K209/K206,0)</f>
        <v>1.627276033734173</v>
      </c>
      <c r="L210" s="69">
        <f>IFERROR(E210-K210,0)</f>
        <v>7.9936904679911436E-4</v>
      </c>
      <c r="M210" s="73"/>
      <c r="N210" s="74"/>
    </row>
    <row r="211" spans="1:14" s="27" customFormat="1" ht="5.0999999999999996" customHeight="1" thickBot="1" x14ac:dyDescent="0.35">
      <c r="A211" s="5"/>
      <c r="B211" s="6"/>
      <c r="C211" s="7"/>
      <c r="D211" s="7"/>
      <c r="E211" s="8"/>
      <c r="F211" s="69"/>
      <c r="G211" s="8"/>
      <c r="H211" s="69"/>
      <c r="I211" s="21"/>
      <c r="J211" s="22"/>
      <c r="K211" s="53"/>
      <c r="L211" s="69"/>
      <c r="M211" s="73"/>
      <c r="N211" s="74"/>
    </row>
    <row r="212" spans="1:14" s="27" customFormat="1" ht="15" customHeight="1" thickBot="1" x14ac:dyDescent="0.35">
      <c r="A212" s="5"/>
      <c r="B212" s="6" t="s">
        <v>13</v>
      </c>
      <c r="C212" s="15">
        <f>IFERROR(C201/C206,0)</f>
        <v>98.093744026375717</v>
      </c>
      <c r="D212" s="15">
        <f>IFERROR(D201/D206,0)</f>
        <v>78.772320020972188</v>
      </c>
      <c r="E212" s="39">
        <f>IFERROR(E201/E206,0)</f>
        <v>78.460830692075646</v>
      </c>
      <c r="F212" s="69">
        <f>IFERROR(E212-C212,0)</f>
        <v>-19.632913334300071</v>
      </c>
      <c r="G212" s="39">
        <f>IFERROR(G201/G206,0)</f>
        <v>77.161251092179995</v>
      </c>
      <c r="H212" s="69">
        <f>IFERROR(E212-G212,0)</f>
        <v>1.299579599895651</v>
      </c>
      <c r="I212" s="21">
        <f>IFERROR(E212/C212-1,0)</f>
        <v>-0.20014439788352989</v>
      </c>
      <c r="J212" s="22">
        <f>IFERROR(E212/G212-1,0)</f>
        <v>1.6842386320863545E-2</v>
      </c>
      <c r="K212" s="55">
        <f>IFERROR(K201/K206,0)</f>
        <v>79.696163919892697</v>
      </c>
      <c r="L212" s="69">
        <f>IFERROR(E212-K212,0)</f>
        <v>-1.2353332278170512</v>
      </c>
      <c r="M212" s="73"/>
      <c r="N212" s="74"/>
    </row>
    <row r="213" spans="1:14" s="38" customFormat="1" ht="15" customHeight="1" thickBot="1" x14ac:dyDescent="0.35">
      <c r="A213" s="9"/>
      <c r="B213" s="10" t="s">
        <v>14</v>
      </c>
      <c r="C213" s="16">
        <f>IFERROR(C201/C205,0)</f>
        <v>68.088128294106809</v>
      </c>
      <c r="D213" s="16">
        <f>IFERROR(D201/D205,0)</f>
        <v>25.720472789626633</v>
      </c>
      <c r="E213" s="40">
        <f>IFERROR(E201/E205,0)</f>
        <v>25.248981931616584</v>
      </c>
      <c r="F213" s="70">
        <f t="shared" ref="F213:F214" si="95">IFERROR(E213-C213,0)</f>
        <v>-42.839146362490226</v>
      </c>
      <c r="G213" s="40">
        <f>IFERROR(G201/G205,0)</f>
        <v>22.979716855321364</v>
      </c>
      <c r="H213" s="70">
        <f t="shared" ref="H213:H214" si="96">IFERROR(E213-G213,0)</f>
        <v>2.2692650762952198</v>
      </c>
      <c r="I213" s="20">
        <f>IFERROR(E213/C213-1,0)</f>
        <v>-0.62917203682625034</v>
      </c>
      <c r="J213" s="11">
        <f>IFERROR(E213/G213-1,0)</f>
        <v>9.8750784902283506E-2</v>
      </c>
      <c r="K213" s="56">
        <f>IFERROR(K201/K205,0)</f>
        <v>28.587034792889757</v>
      </c>
      <c r="L213" s="70">
        <f>IFERROR(E213-K213,0)</f>
        <v>-3.338052861273173</v>
      </c>
      <c r="M213" s="73"/>
      <c r="N213" s="74"/>
    </row>
    <row r="214" spans="1:14" ht="15" customHeight="1" thickBot="1" x14ac:dyDescent="0.35">
      <c r="A214" s="17"/>
      <c r="B214" s="18" t="s">
        <v>34</v>
      </c>
      <c r="C214" s="19">
        <f>IFERROR(C200/C206,0)</f>
        <v>139.87650574898811</v>
      </c>
      <c r="D214" s="19">
        <f>IFERROR(D200/D206,0)</f>
        <v>123.53434331882535</v>
      </c>
      <c r="E214" s="19">
        <f>IFERROR(E200/E206,0)</f>
        <v>125.14956614290749</v>
      </c>
      <c r="F214" s="72">
        <f t="shared" si="95"/>
        <v>-14.72693960608062</v>
      </c>
      <c r="G214" s="19">
        <f>IFERROR(G200/G206,0)</f>
        <v>152.390747051114</v>
      </c>
      <c r="H214" s="72">
        <f t="shared" si="96"/>
        <v>-27.241180908206516</v>
      </c>
      <c r="I214" s="25">
        <f>IFERROR(E214/C214-1,0)</f>
        <v>-0.10528529810795018</v>
      </c>
      <c r="J214" s="26">
        <f>IFERROR(E214/G214-1,0)</f>
        <v>-0.178758759539839</v>
      </c>
      <c r="K214" s="57">
        <f>IFERROR(K200/K206,0)</f>
        <v>125.45996445189093</v>
      </c>
      <c r="L214" s="72">
        <f>IFERROR(E214-K214,0)</f>
        <v>-0.31039830898343723</v>
      </c>
      <c r="M214" s="73"/>
      <c r="N214" s="74"/>
    </row>
  </sheetData>
  <sheetProtection algorithmName="SHA-512" hashValue="Xwe5o330NnH/DNt3LB6Jjzp7yEmANbWQcYPRPvK8WZyFbND5vKiuvsmImQWStMnRWBVn6oBTI9HHMI+0O31Sjg==" saltValue="bvn+AveagHVn8YAc1cSSLQ==" spinCount="100000" sheet="1" objects="1" scenarios="1"/>
  <mergeCells count="19">
    <mergeCell ref="A3:A4"/>
    <mergeCell ref="B3:B4"/>
    <mergeCell ref="M3:N3"/>
    <mergeCell ref="M4:N4"/>
    <mergeCell ref="C3:E3"/>
    <mergeCell ref="M5:N19"/>
    <mergeCell ref="M20:N34"/>
    <mergeCell ref="M35:N49"/>
    <mergeCell ref="M50:N64"/>
    <mergeCell ref="M65:N79"/>
    <mergeCell ref="M155:N169"/>
    <mergeCell ref="M170:N184"/>
    <mergeCell ref="M185:N199"/>
    <mergeCell ref="M200:N214"/>
    <mergeCell ref="M80:N94"/>
    <mergeCell ref="M95:N109"/>
    <mergeCell ref="M110:N124"/>
    <mergeCell ref="M125:N139"/>
    <mergeCell ref="M140:N154"/>
  </mergeCells>
  <conditionalFormatting sqref="L207">
    <cfRule type="cellIs" dxfId="94" priority="109" operator="lessThan">
      <formula>0</formula>
    </cfRule>
  </conditionalFormatting>
  <conditionalFormatting sqref="H207">
    <cfRule type="cellIs" dxfId="93" priority="108" operator="lessThan">
      <formula>0</formula>
    </cfRule>
  </conditionalFormatting>
  <conditionalFormatting sqref="F207">
    <cfRule type="cellIs" dxfId="92" priority="107" operator="lessThan">
      <formula>0</formula>
    </cfRule>
  </conditionalFormatting>
  <conditionalFormatting sqref="F192">
    <cfRule type="cellIs" dxfId="91" priority="106" operator="lessThan">
      <formula>0</formula>
    </cfRule>
  </conditionalFormatting>
  <conditionalFormatting sqref="H192">
    <cfRule type="cellIs" dxfId="90" priority="105" operator="lessThan">
      <formula>0</formula>
    </cfRule>
  </conditionalFormatting>
  <conditionalFormatting sqref="L192">
    <cfRule type="cellIs" dxfId="89" priority="104" operator="lessThan">
      <formula>0</formula>
    </cfRule>
  </conditionalFormatting>
  <conditionalFormatting sqref="L177">
    <cfRule type="cellIs" dxfId="88" priority="103" operator="lessThan">
      <formula>0</formula>
    </cfRule>
  </conditionalFormatting>
  <conditionalFormatting sqref="H177">
    <cfRule type="cellIs" dxfId="87" priority="102" operator="lessThan">
      <formula>0</formula>
    </cfRule>
  </conditionalFormatting>
  <conditionalFormatting sqref="F177">
    <cfRule type="cellIs" dxfId="86" priority="101" operator="lessThan">
      <formula>0</formula>
    </cfRule>
  </conditionalFormatting>
  <conditionalFormatting sqref="F162">
    <cfRule type="cellIs" dxfId="85" priority="100" operator="lessThan">
      <formula>0</formula>
    </cfRule>
  </conditionalFormatting>
  <conditionalFormatting sqref="H162">
    <cfRule type="cellIs" dxfId="84" priority="99" operator="lessThan">
      <formula>0</formula>
    </cfRule>
  </conditionalFormatting>
  <conditionalFormatting sqref="L162">
    <cfRule type="cellIs" dxfId="83" priority="98" operator="lessThan">
      <formula>0</formula>
    </cfRule>
  </conditionalFormatting>
  <conditionalFormatting sqref="L147">
    <cfRule type="cellIs" dxfId="82" priority="97" operator="lessThan">
      <formula>0</formula>
    </cfRule>
  </conditionalFormatting>
  <conditionalFormatting sqref="H147">
    <cfRule type="cellIs" dxfId="81" priority="96" operator="lessThan">
      <formula>0</formula>
    </cfRule>
  </conditionalFormatting>
  <conditionalFormatting sqref="F147">
    <cfRule type="cellIs" dxfId="80" priority="95" operator="lessThan">
      <formula>0</formula>
    </cfRule>
  </conditionalFormatting>
  <conditionalFormatting sqref="F132">
    <cfRule type="cellIs" dxfId="79" priority="94" operator="lessThan">
      <formula>0</formula>
    </cfRule>
  </conditionalFormatting>
  <conditionalFormatting sqref="H132">
    <cfRule type="cellIs" dxfId="78" priority="93" operator="lessThan">
      <formula>0</formula>
    </cfRule>
  </conditionalFormatting>
  <conditionalFormatting sqref="L132">
    <cfRule type="cellIs" dxfId="77" priority="92" operator="lessThan">
      <formula>0</formula>
    </cfRule>
  </conditionalFormatting>
  <conditionalFormatting sqref="L117">
    <cfRule type="cellIs" dxfId="76" priority="91" operator="lessThan">
      <formula>0</formula>
    </cfRule>
  </conditionalFormatting>
  <conditionalFormatting sqref="H117">
    <cfRule type="cellIs" dxfId="75" priority="90" operator="lessThan">
      <formula>0</formula>
    </cfRule>
  </conditionalFormatting>
  <conditionalFormatting sqref="F117">
    <cfRule type="cellIs" dxfId="74" priority="89" operator="lessThan">
      <formula>0</formula>
    </cfRule>
  </conditionalFormatting>
  <conditionalFormatting sqref="F102">
    <cfRule type="cellIs" dxfId="73" priority="88" operator="lessThan">
      <formula>0</formula>
    </cfRule>
  </conditionalFormatting>
  <conditionalFormatting sqref="H102">
    <cfRule type="cellIs" dxfId="72" priority="87" operator="lessThan">
      <formula>0</formula>
    </cfRule>
  </conditionalFormatting>
  <conditionalFormatting sqref="L102">
    <cfRule type="cellIs" dxfId="71" priority="86" operator="lessThan">
      <formula>0</formula>
    </cfRule>
  </conditionalFormatting>
  <conditionalFormatting sqref="L87">
    <cfRule type="cellIs" dxfId="70" priority="85" operator="lessThan">
      <formula>0</formula>
    </cfRule>
  </conditionalFormatting>
  <conditionalFormatting sqref="H87">
    <cfRule type="cellIs" dxfId="69" priority="84" operator="lessThan">
      <formula>0</formula>
    </cfRule>
  </conditionalFormatting>
  <conditionalFormatting sqref="F87">
    <cfRule type="cellIs" dxfId="68" priority="83" operator="lessThan">
      <formula>0</formula>
    </cfRule>
  </conditionalFormatting>
  <conditionalFormatting sqref="F72">
    <cfRule type="cellIs" dxfId="67" priority="82" operator="lessThan">
      <formula>0</formula>
    </cfRule>
  </conditionalFormatting>
  <conditionalFormatting sqref="H72">
    <cfRule type="cellIs" dxfId="66" priority="81" operator="lessThan">
      <formula>0</formula>
    </cfRule>
  </conditionalFormatting>
  <conditionalFormatting sqref="L72">
    <cfRule type="cellIs" dxfId="65" priority="80" operator="lessThan">
      <formula>0</formula>
    </cfRule>
  </conditionalFormatting>
  <conditionalFormatting sqref="L57">
    <cfRule type="cellIs" dxfId="64" priority="79" operator="lessThan">
      <formula>0</formula>
    </cfRule>
  </conditionalFormatting>
  <conditionalFormatting sqref="H57">
    <cfRule type="cellIs" dxfId="63" priority="78" operator="lessThan">
      <formula>0</formula>
    </cfRule>
  </conditionalFormatting>
  <conditionalFormatting sqref="F57">
    <cfRule type="cellIs" dxfId="62" priority="77" operator="lessThan">
      <formula>0</formula>
    </cfRule>
  </conditionalFormatting>
  <conditionalFormatting sqref="F42">
    <cfRule type="cellIs" dxfId="61" priority="76" operator="lessThan">
      <formula>0</formula>
    </cfRule>
  </conditionalFormatting>
  <conditionalFormatting sqref="H42">
    <cfRule type="cellIs" dxfId="60" priority="75" operator="lessThan">
      <formula>0</formula>
    </cfRule>
  </conditionalFormatting>
  <conditionalFormatting sqref="L42">
    <cfRule type="cellIs" dxfId="59" priority="74" operator="lessThan">
      <formula>0</formula>
    </cfRule>
  </conditionalFormatting>
  <conditionalFormatting sqref="L27">
    <cfRule type="cellIs" dxfId="58" priority="73" operator="lessThan">
      <formula>0</formula>
    </cfRule>
  </conditionalFormatting>
  <conditionalFormatting sqref="H27">
    <cfRule type="cellIs" dxfId="57" priority="72" operator="lessThan">
      <formula>0</formula>
    </cfRule>
  </conditionalFormatting>
  <conditionalFormatting sqref="F27">
    <cfRule type="cellIs" dxfId="56" priority="71" operator="lessThan">
      <formula>0</formula>
    </cfRule>
  </conditionalFormatting>
  <conditionalFormatting sqref="I24">
    <cfRule type="expression" dxfId="55" priority="69">
      <formula>$I20&gt;=0</formula>
    </cfRule>
    <cfRule type="expression" dxfId="54" priority="70">
      <formula>$I20&lt;0</formula>
    </cfRule>
  </conditionalFormatting>
  <conditionalFormatting sqref="J24">
    <cfRule type="expression" dxfId="53" priority="67">
      <formula>$J20&gt;=0</formula>
    </cfRule>
    <cfRule type="expression" dxfId="52" priority="68">
      <formula>$J20&lt;0</formula>
    </cfRule>
  </conditionalFormatting>
  <conditionalFormatting sqref="I39">
    <cfRule type="expression" dxfId="51" priority="65">
      <formula>$I35&gt;=0</formula>
    </cfRule>
    <cfRule type="expression" dxfId="50" priority="66">
      <formula>$I35&lt;0</formula>
    </cfRule>
  </conditionalFormatting>
  <conditionalFormatting sqref="J39">
    <cfRule type="expression" dxfId="49" priority="63">
      <formula>$J35&gt;=0</formula>
    </cfRule>
    <cfRule type="expression" dxfId="48" priority="64">
      <formula>$J35&lt;0</formula>
    </cfRule>
  </conditionalFormatting>
  <conditionalFormatting sqref="I54">
    <cfRule type="expression" dxfId="47" priority="61">
      <formula>$I50&gt;=0</formula>
    </cfRule>
    <cfRule type="expression" dxfId="46" priority="62">
      <formula>$I50&lt;0</formula>
    </cfRule>
  </conditionalFormatting>
  <conditionalFormatting sqref="J54">
    <cfRule type="expression" dxfId="45" priority="59">
      <formula>$J50&gt;=0</formula>
    </cfRule>
    <cfRule type="expression" dxfId="44" priority="60">
      <formula>$J50&lt;0</formula>
    </cfRule>
  </conditionalFormatting>
  <conditionalFormatting sqref="I69">
    <cfRule type="expression" dxfId="43" priority="57">
      <formula>$I65&gt;=0</formula>
    </cfRule>
    <cfRule type="expression" dxfId="42" priority="58">
      <formula>$I65&lt;0</formula>
    </cfRule>
  </conditionalFormatting>
  <conditionalFormatting sqref="J69">
    <cfRule type="expression" dxfId="41" priority="55">
      <formula>$J65&gt;=0</formula>
    </cfRule>
    <cfRule type="expression" dxfId="40" priority="56">
      <formula>$J65&lt;0</formula>
    </cfRule>
  </conditionalFormatting>
  <conditionalFormatting sqref="I84">
    <cfRule type="expression" dxfId="39" priority="53">
      <formula>$I80&gt;=0</formula>
    </cfRule>
    <cfRule type="expression" dxfId="38" priority="54">
      <formula>$I80&lt;0</formula>
    </cfRule>
  </conditionalFormatting>
  <conditionalFormatting sqref="J84">
    <cfRule type="expression" dxfId="37" priority="51">
      <formula>$J80&gt;=0</formula>
    </cfRule>
    <cfRule type="expression" dxfId="36" priority="52">
      <formula>$J80&lt;0</formula>
    </cfRule>
  </conditionalFormatting>
  <conditionalFormatting sqref="I99">
    <cfRule type="expression" dxfId="35" priority="49">
      <formula>$I95&gt;=0</formula>
    </cfRule>
    <cfRule type="expression" dxfId="34" priority="50">
      <formula>$I95&lt;0</formula>
    </cfRule>
  </conditionalFormatting>
  <conditionalFormatting sqref="J99">
    <cfRule type="expression" dxfId="33" priority="47">
      <formula>$J95&gt;=0</formula>
    </cfRule>
    <cfRule type="expression" dxfId="32" priority="48">
      <formula>$J95&lt;0</formula>
    </cfRule>
  </conditionalFormatting>
  <conditionalFormatting sqref="I114">
    <cfRule type="expression" dxfId="31" priority="45">
      <formula>$I110&gt;=0</formula>
    </cfRule>
    <cfRule type="expression" dxfId="30" priority="46">
      <formula>$I110&lt;0</formula>
    </cfRule>
  </conditionalFormatting>
  <conditionalFormatting sqref="J114">
    <cfRule type="expression" dxfId="29" priority="43">
      <formula>$J110&gt;=0</formula>
    </cfRule>
    <cfRule type="expression" dxfId="28" priority="44">
      <formula>$J110&lt;0</formula>
    </cfRule>
  </conditionalFormatting>
  <conditionalFormatting sqref="I129">
    <cfRule type="expression" dxfId="27" priority="41">
      <formula>$I125&gt;=0</formula>
    </cfRule>
    <cfRule type="expression" dxfId="26" priority="42">
      <formula>$I125&lt;0</formula>
    </cfRule>
  </conditionalFormatting>
  <conditionalFormatting sqref="J129">
    <cfRule type="expression" dxfId="25" priority="39">
      <formula>$J125&gt;=0</formula>
    </cfRule>
    <cfRule type="expression" dxfId="24" priority="40">
      <formula>$J125&lt;0</formula>
    </cfRule>
  </conditionalFormatting>
  <conditionalFormatting sqref="I144">
    <cfRule type="expression" dxfId="23" priority="37">
      <formula>$I140&gt;=0</formula>
    </cfRule>
    <cfRule type="expression" dxfId="22" priority="38">
      <formula>$I140&lt;0</formula>
    </cfRule>
  </conditionalFormatting>
  <conditionalFormatting sqref="J144">
    <cfRule type="expression" dxfId="21" priority="35">
      <formula>$J140&gt;=0</formula>
    </cfRule>
    <cfRule type="expression" dxfId="20" priority="36">
      <formula>$J140&lt;0</formula>
    </cfRule>
  </conditionalFormatting>
  <conditionalFormatting sqref="I159">
    <cfRule type="expression" dxfId="19" priority="33">
      <formula>$I155&gt;=0</formula>
    </cfRule>
    <cfRule type="expression" dxfId="18" priority="34">
      <formula>$I155&lt;0</formula>
    </cfRule>
  </conditionalFormatting>
  <conditionalFormatting sqref="J159">
    <cfRule type="expression" dxfId="17" priority="31">
      <formula>$J155&gt;=0</formula>
    </cfRule>
    <cfRule type="expression" dxfId="16" priority="32">
      <formula>$J155&lt;0</formula>
    </cfRule>
  </conditionalFormatting>
  <conditionalFormatting sqref="I174">
    <cfRule type="expression" dxfId="15" priority="29">
      <formula>$I170&gt;=0</formula>
    </cfRule>
    <cfRule type="expression" dxfId="14" priority="30">
      <formula>$I170&lt;0</formula>
    </cfRule>
  </conditionalFormatting>
  <conditionalFormatting sqref="J174">
    <cfRule type="expression" dxfId="13" priority="27">
      <formula>$J170&gt;=0</formula>
    </cfRule>
    <cfRule type="expression" dxfId="12" priority="28">
      <formula>$J170&lt;0</formula>
    </cfRule>
  </conditionalFormatting>
  <conditionalFormatting sqref="I189">
    <cfRule type="expression" dxfId="11" priority="25">
      <formula>$I185&gt;=0</formula>
    </cfRule>
    <cfRule type="expression" dxfId="10" priority="26">
      <formula>$I185&lt;0</formula>
    </cfRule>
  </conditionalFormatting>
  <conditionalFormatting sqref="J189">
    <cfRule type="expression" dxfId="9" priority="23">
      <formula>$J185&gt;=0</formula>
    </cfRule>
    <cfRule type="expression" dxfId="8" priority="24">
      <formula>$J185&lt;0</formula>
    </cfRule>
  </conditionalFormatting>
  <conditionalFormatting sqref="I204">
    <cfRule type="expression" dxfId="7" priority="21">
      <formula>$I200&gt;=0</formula>
    </cfRule>
    <cfRule type="expression" dxfId="6" priority="22">
      <formula>$I200&lt;0</formula>
    </cfRule>
  </conditionalFormatting>
  <conditionalFormatting sqref="J204">
    <cfRule type="expression" dxfId="5" priority="19">
      <formula>$J200&gt;=0</formula>
    </cfRule>
    <cfRule type="expression" dxfId="4" priority="20">
      <formula>$J200&lt;0</formula>
    </cfRule>
  </conditionalFormatting>
  <conditionalFormatting sqref="I9">
    <cfRule type="expression" dxfId="3" priority="17">
      <formula>$I5&gt;=0</formula>
    </cfRule>
    <cfRule type="expression" dxfId="2" priority="18">
      <formula>$I5&lt;0</formula>
    </cfRule>
  </conditionalFormatting>
  <conditionalFormatting sqref="J9">
    <cfRule type="expression" dxfId="1" priority="15">
      <formula>$J5&gt;=0</formula>
    </cfRule>
    <cfRule type="expression" dxfId="0" priority="16">
      <formula>$J5&lt;0</formula>
    </cfRule>
  </conditionalFormatting>
  <dataValidations count="1">
    <dataValidation type="list" allowBlank="1" showInputMessage="1" showErrorMessage="1" sqref="B3:B4" xr:uid="{00000000-0002-0000-0400-000000000000}">
      <formula1>hotel_name_list</formula1>
    </dataValidation>
  </dataValidations>
  <pageMargins left="0.70866141732283472" right="0.70866141732283472" top="0.59055118110236227" bottom="0.59055118110236227" header="0.31496062992125984" footer="0.31496062992125984"/>
  <pageSetup paperSize="9" scale="45" fitToHeight="0" orientation="portrait" r:id="rId1"/>
  <rowBreaks count="1" manualBreakCount="1">
    <brk id="109" max="16383" man="1"/>
  </rowBreaks>
  <ignoredErrors>
    <ignoredError sqref="F5:F214 L20:L200" formula="1"/>
  </ignoredError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Tabelle1"/>
  <dimension ref="A1:K55"/>
  <sheetViews>
    <sheetView showGridLines="0" workbookViewId="0">
      <selection activeCell="F2" sqref="F2"/>
    </sheetView>
  </sheetViews>
  <sheetFormatPr baseColWidth="10" defaultRowHeight="14.4" x14ac:dyDescent="0.3"/>
  <cols>
    <col min="1" max="1" width="43.44140625" bestFit="1" customWidth="1"/>
    <col min="2" max="2" width="17.109375" bestFit="1" customWidth="1"/>
    <col min="3" max="3" width="15.33203125" bestFit="1" customWidth="1"/>
    <col min="8" max="8" width="15.109375" bestFit="1" customWidth="1"/>
  </cols>
  <sheetData>
    <row r="1" spans="1:9" x14ac:dyDescent="0.3">
      <c r="A1" t="s">
        <v>41</v>
      </c>
      <c r="B1" t="s">
        <v>42</v>
      </c>
      <c r="C1" t="s">
        <v>43</v>
      </c>
      <c r="D1" t="s">
        <v>158</v>
      </c>
      <c r="E1" t="s">
        <v>40</v>
      </c>
      <c r="F1" t="s">
        <v>159</v>
      </c>
      <c r="H1" t="s">
        <v>158</v>
      </c>
      <c r="I1" t="s">
        <v>159</v>
      </c>
    </row>
    <row r="2" spans="1:9" x14ac:dyDescent="0.3">
      <c r="A2" t="s">
        <v>35</v>
      </c>
      <c r="B2">
        <v>89</v>
      </c>
      <c r="C2">
        <v>164</v>
      </c>
      <c r="D2" t="s">
        <v>45</v>
      </c>
      <c r="E2" t="s">
        <v>44</v>
      </c>
      <c r="F2">
        <v>48.929071902218908</v>
      </c>
      <c r="H2" t="s">
        <v>36</v>
      </c>
      <c r="I2">
        <v>65.241400145372765</v>
      </c>
    </row>
    <row r="3" spans="1:9" x14ac:dyDescent="0.3">
      <c r="A3" t="s">
        <v>33</v>
      </c>
      <c r="B3">
        <v>120</v>
      </c>
      <c r="C3">
        <v>250</v>
      </c>
      <c r="D3" t="s">
        <v>45</v>
      </c>
      <c r="E3" t="s">
        <v>46</v>
      </c>
      <c r="F3">
        <v>75.708477434729815</v>
      </c>
      <c r="H3" t="s">
        <v>160</v>
      </c>
      <c r="I3">
        <v>68.937226181254914</v>
      </c>
    </row>
    <row r="4" spans="1:9" x14ac:dyDescent="0.3">
      <c r="A4" t="s">
        <v>48</v>
      </c>
      <c r="B4">
        <v>145</v>
      </c>
      <c r="C4">
        <v>290</v>
      </c>
      <c r="D4" t="s">
        <v>49</v>
      </c>
      <c r="E4" t="s">
        <v>47</v>
      </c>
      <c r="F4">
        <v>62.697019471138752</v>
      </c>
      <c r="H4" t="s">
        <v>161</v>
      </c>
      <c r="I4">
        <v>65.795188681657777</v>
      </c>
    </row>
    <row r="5" spans="1:9" x14ac:dyDescent="0.3">
      <c r="A5" t="s">
        <v>51</v>
      </c>
      <c r="B5">
        <v>237</v>
      </c>
      <c r="C5">
        <v>474</v>
      </c>
      <c r="D5" t="s">
        <v>49</v>
      </c>
      <c r="E5" t="s">
        <v>50</v>
      </c>
      <c r="F5">
        <v>69.483423958405382</v>
      </c>
      <c r="H5" t="s">
        <v>162</v>
      </c>
      <c r="I5">
        <v>46.748290391084396</v>
      </c>
    </row>
    <row r="6" spans="1:9" x14ac:dyDescent="0.3">
      <c r="A6" t="s">
        <v>53</v>
      </c>
      <c r="B6">
        <v>288</v>
      </c>
      <c r="C6">
        <v>696</v>
      </c>
      <c r="D6" t="s">
        <v>49</v>
      </c>
      <c r="E6" t="s">
        <v>52</v>
      </c>
      <c r="F6">
        <v>55.277597848360649</v>
      </c>
      <c r="H6" t="s">
        <v>163</v>
      </c>
      <c r="I6">
        <v>118.16531447460491</v>
      </c>
    </row>
    <row r="7" spans="1:9" x14ac:dyDescent="0.3">
      <c r="A7" t="s">
        <v>55</v>
      </c>
      <c r="B7">
        <v>336</v>
      </c>
      <c r="C7">
        <v>672</v>
      </c>
      <c r="D7" t="s">
        <v>49</v>
      </c>
      <c r="E7" t="s">
        <v>54</v>
      </c>
      <c r="F7">
        <v>82.953160882611243</v>
      </c>
      <c r="H7" t="s">
        <v>165</v>
      </c>
      <c r="I7">
        <v>69.821599969911674</v>
      </c>
    </row>
    <row r="8" spans="1:9" x14ac:dyDescent="0.3">
      <c r="A8" t="s">
        <v>57</v>
      </c>
      <c r="B8">
        <v>131</v>
      </c>
      <c r="C8">
        <v>262</v>
      </c>
      <c r="D8" t="s">
        <v>157</v>
      </c>
      <c r="E8" t="s">
        <v>56</v>
      </c>
      <c r="F8">
        <v>49.078813571871123</v>
      </c>
      <c r="H8" t="s">
        <v>164</v>
      </c>
      <c r="I8">
        <v>55.114572046738417</v>
      </c>
    </row>
    <row r="9" spans="1:9" x14ac:dyDescent="0.3">
      <c r="A9" t="s">
        <v>59</v>
      </c>
      <c r="B9">
        <v>96</v>
      </c>
      <c r="C9">
        <v>188</v>
      </c>
      <c r="D9" t="s">
        <v>157</v>
      </c>
      <c r="E9" t="s">
        <v>58</v>
      </c>
      <c r="F9">
        <v>53.478498926077712</v>
      </c>
      <c r="H9" t="s">
        <v>166</v>
      </c>
      <c r="I9">
        <v>62.625708341205787</v>
      </c>
    </row>
    <row r="10" spans="1:9" x14ac:dyDescent="0.3">
      <c r="A10" t="s">
        <v>61</v>
      </c>
      <c r="B10">
        <v>201</v>
      </c>
      <c r="C10">
        <v>402</v>
      </c>
      <c r="D10" t="s">
        <v>157</v>
      </c>
      <c r="E10" t="s">
        <v>60</v>
      </c>
      <c r="F10">
        <v>57.549457367080805</v>
      </c>
    </row>
    <row r="11" spans="1:9" x14ac:dyDescent="0.3">
      <c r="A11" t="s">
        <v>63</v>
      </c>
      <c r="B11">
        <v>52</v>
      </c>
      <c r="C11">
        <v>98</v>
      </c>
      <c r="D11" t="s">
        <v>157</v>
      </c>
      <c r="E11" t="s">
        <v>62</v>
      </c>
      <c r="F11">
        <v>49.123781784783517</v>
      </c>
    </row>
    <row r="12" spans="1:9" x14ac:dyDescent="0.3">
      <c r="A12" t="s">
        <v>65</v>
      </c>
      <c r="B12">
        <v>254</v>
      </c>
      <c r="C12">
        <v>508</v>
      </c>
      <c r="D12" t="s">
        <v>157</v>
      </c>
      <c r="E12" t="s">
        <v>64</v>
      </c>
      <c r="F12">
        <v>89.379682107590057</v>
      </c>
    </row>
    <row r="13" spans="1:9" x14ac:dyDescent="0.3">
      <c r="A13" t="s">
        <v>67</v>
      </c>
      <c r="B13">
        <v>41</v>
      </c>
      <c r="C13">
        <v>144</v>
      </c>
      <c r="D13" t="s">
        <v>157</v>
      </c>
      <c r="E13" t="s">
        <v>66</v>
      </c>
      <c r="F13">
        <v>63.708325983843736</v>
      </c>
    </row>
    <row r="14" spans="1:9" x14ac:dyDescent="0.3">
      <c r="A14" t="s">
        <v>69</v>
      </c>
      <c r="B14">
        <v>165</v>
      </c>
      <c r="C14">
        <v>360</v>
      </c>
      <c r="D14" t="s">
        <v>156</v>
      </c>
      <c r="E14" t="s">
        <v>68</v>
      </c>
      <c r="F14">
        <v>29.51949343820721</v>
      </c>
    </row>
    <row r="15" spans="1:9" x14ac:dyDescent="0.3">
      <c r="A15" t="s">
        <v>71</v>
      </c>
      <c r="B15">
        <v>291</v>
      </c>
      <c r="C15">
        <v>491</v>
      </c>
      <c r="D15" t="s">
        <v>156</v>
      </c>
      <c r="E15" t="s">
        <v>70</v>
      </c>
      <c r="F15">
        <v>45.837827358709049</v>
      </c>
    </row>
    <row r="16" spans="1:9" x14ac:dyDescent="0.3">
      <c r="A16" t="s">
        <v>73</v>
      </c>
      <c r="B16">
        <v>153</v>
      </c>
      <c r="C16">
        <v>291</v>
      </c>
      <c r="D16" t="s">
        <v>156</v>
      </c>
      <c r="E16" t="s">
        <v>72</v>
      </c>
      <c r="F16">
        <v>61.723715641203398</v>
      </c>
    </row>
    <row r="17" spans="1:11" x14ac:dyDescent="0.3">
      <c r="A17" t="s">
        <v>75</v>
      </c>
      <c r="B17">
        <v>235</v>
      </c>
      <c r="C17">
        <v>470</v>
      </c>
      <c r="D17" t="s">
        <v>156</v>
      </c>
      <c r="E17" t="s">
        <v>74</v>
      </c>
      <c r="F17">
        <v>65.158851334728539</v>
      </c>
    </row>
    <row r="18" spans="1:11" x14ac:dyDescent="0.3">
      <c r="A18" t="s">
        <v>77</v>
      </c>
      <c r="B18">
        <v>122</v>
      </c>
      <c r="C18">
        <v>213</v>
      </c>
      <c r="D18" t="s">
        <v>156</v>
      </c>
      <c r="E18" t="s">
        <v>76</v>
      </c>
      <c r="F18">
        <v>36.548588939651829</v>
      </c>
    </row>
    <row r="19" spans="1:11" x14ac:dyDescent="0.3">
      <c r="A19" t="s">
        <v>79</v>
      </c>
      <c r="B19">
        <v>300</v>
      </c>
      <c r="C19">
        <v>528</v>
      </c>
      <c r="D19" t="s">
        <v>156</v>
      </c>
      <c r="E19" t="s">
        <v>78</v>
      </c>
      <c r="F19">
        <v>22.424533159050885</v>
      </c>
    </row>
    <row r="20" spans="1:11" x14ac:dyDescent="0.3">
      <c r="A20" t="s">
        <v>149</v>
      </c>
      <c r="B20">
        <v>189</v>
      </c>
      <c r="C20">
        <v>378</v>
      </c>
      <c r="D20" t="s">
        <v>156</v>
      </c>
      <c r="E20" t="s">
        <v>148</v>
      </c>
      <c r="F20">
        <v>68.36140592708243</v>
      </c>
    </row>
    <row r="21" spans="1:11" x14ac:dyDescent="0.3">
      <c r="A21" t="s">
        <v>151</v>
      </c>
      <c r="B21">
        <v>337</v>
      </c>
      <c r="C21">
        <v>890</v>
      </c>
      <c r="D21" t="s">
        <v>156</v>
      </c>
      <c r="E21" t="s">
        <v>150</v>
      </c>
      <c r="F21">
        <v>39.057999173031092</v>
      </c>
      <c r="K21">
        <v>20005</v>
      </c>
    </row>
    <row r="22" spans="1:11" x14ac:dyDescent="0.3">
      <c r="A22" t="s">
        <v>81</v>
      </c>
      <c r="B22">
        <v>128</v>
      </c>
      <c r="C22">
        <v>256</v>
      </c>
      <c r="D22" t="s">
        <v>155</v>
      </c>
      <c r="E22" t="s">
        <v>80</v>
      </c>
      <c r="F22">
        <v>118.00920677496583</v>
      </c>
      <c r="K22">
        <v>15742</v>
      </c>
    </row>
    <row r="23" spans="1:11" x14ac:dyDescent="0.3">
      <c r="A23" t="s">
        <v>83</v>
      </c>
      <c r="B23">
        <v>118</v>
      </c>
      <c r="C23">
        <v>236</v>
      </c>
      <c r="D23" t="s">
        <v>155</v>
      </c>
      <c r="E23" t="s">
        <v>82</v>
      </c>
      <c r="F23">
        <v>127.34575438847776</v>
      </c>
      <c r="K23">
        <v>15743</v>
      </c>
    </row>
    <row r="24" spans="1:11" x14ac:dyDescent="0.3">
      <c r="A24" t="s">
        <v>85</v>
      </c>
      <c r="B24">
        <v>224</v>
      </c>
      <c r="C24">
        <v>448</v>
      </c>
      <c r="D24" t="s">
        <v>155</v>
      </c>
      <c r="E24" t="s">
        <v>84</v>
      </c>
      <c r="F24">
        <v>145.20144382399818</v>
      </c>
      <c r="K24">
        <v>15756</v>
      </c>
    </row>
    <row r="25" spans="1:11" x14ac:dyDescent="0.3">
      <c r="A25" t="s">
        <v>87</v>
      </c>
      <c r="B25">
        <v>100</v>
      </c>
      <c r="C25">
        <v>200</v>
      </c>
      <c r="D25" t="s">
        <v>155</v>
      </c>
      <c r="E25" t="s">
        <v>86</v>
      </c>
      <c r="F25">
        <v>118.22217693989072</v>
      </c>
      <c r="K25">
        <v>19117</v>
      </c>
    </row>
    <row r="26" spans="1:11" x14ac:dyDescent="0.3">
      <c r="A26" t="s">
        <v>89</v>
      </c>
      <c r="B26">
        <v>161</v>
      </c>
      <c r="C26">
        <v>310</v>
      </c>
      <c r="D26" t="s">
        <v>155</v>
      </c>
      <c r="E26" t="s">
        <v>88</v>
      </c>
      <c r="F26">
        <v>85.068500876805956</v>
      </c>
      <c r="K26">
        <v>20374</v>
      </c>
    </row>
    <row r="27" spans="1:11" x14ac:dyDescent="0.3">
      <c r="A27" t="s">
        <v>91</v>
      </c>
      <c r="B27">
        <v>28</v>
      </c>
      <c r="C27">
        <v>56</v>
      </c>
      <c r="D27" t="s">
        <v>155</v>
      </c>
      <c r="E27" t="s">
        <v>90</v>
      </c>
      <c r="F27">
        <v>65.829466941078522</v>
      </c>
    </row>
    <row r="28" spans="1:11" x14ac:dyDescent="0.3">
      <c r="A28" t="s">
        <v>93</v>
      </c>
      <c r="B28">
        <v>147</v>
      </c>
      <c r="C28">
        <v>282</v>
      </c>
      <c r="D28" t="s">
        <v>154</v>
      </c>
      <c r="E28" t="s">
        <v>92</v>
      </c>
      <c r="F28">
        <v>60.053467282921019</v>
      </c>
    </row>
    <row r="29" spans="1:11" x14ac:dyDescent="0.3">
      <c r="A29" t="s">
        <v>95</v>
      </c>
      <c r="B29">
        <v>105</v>
      </c>
      <c r="C29">
        <v>209</v>
      </c>
      <c r="D29" t="s">
        <v>154</v>
      </c>
      <c r="E29" t="s">
        <v>94</v>
      </c>
      <c r="F29">
        <v>75.915107332166528</v>
      </c>
      <c r="K29">
        <v>5705</v>
      </c>
    </row>
    <row r="30" spans="1:11" x14ac:dyDescent="0.3">
      <c r="A30" t="s">
        <v>97</v>
      </c>
      <c r="B30">
        <v>70</v>
      </c>
      <c r="C30">
        <v>140</v>
      </c>
      <c r="D30" t="s">
        <v>154</v>
      </c>
      <c r="E30" t="s">
        <v>96</v>
      </c>
      <c r="F30">
        <v>61.448455894678631</v>
      </c>
    </row>
    <row r="31" spans="1:11" x14ac:dyDescent="0.3">
      <c r="A31" t="s">
        <v>99</v>
      </c>
      <c r="B31">
        <v>65</v>
      </c>
      <c r="C31">
        <v>127</v>
      </c>
      <c r="D31" t="s">
        <v>154</v>
      </c>
      <c r="E31" t="s">
        <v>98</v>
      </c>
      <c r="F31">
        <v>91.542347032016252</v>
      </c>
    </row>
    <row r="32" spans="1:11" x14ac:dyDescent="0.3">
      <c r="A32" t="s">
        <v>101</v>
      </c>
      <c r="B32">
        <v>64</v>
      </c>
      <c r="C32">
        <v>112</v>
      </c>
      <c r="D32" t="s">
        <v>154</v>
      </c>
      <c r="E32" t="s">
        <v>100</v>
      </c>
      <c r="F32">
        <v>75.362791723588344</v>
      </c>
    </row>
    <row r="33" spans="1:11" x14ac:dyDescent="0.3">
      <c r="A33" t="s">
        <v>103</v>
      </c>
      <c r="B33">
        <v>159</v>
      </c>
      <c r="C33">
        <v>317</v>
      </c>
      <c r="D33" t="s">
        <v>154</v>
      </c>
      <c r="E33" t="s">
        <v>102</v>
      </c>
      <c r="F33">
        <v>49.395392669393182</v>
      </c>
    </row>
    <row r="34" spans="1:11" x14ac:dyDescent="0.3">
      <c r="A34" t="s">
        <v>105</v>
      </c>
      <c r="B34">
        <v>205</v>
      </c>
      <c r="C34">
        <v>470</v>
      </c>
      <c r="D34" t="s">
        <v>154</v>
      </c>
      <c r="E34" t="s">
        <v>104</v>
      </c>
      <c r="F34">
        <v>71.115324869163445</v>
      </c>
    </row>
    <row r="35" spans="1:11" x14ac:dyDescent="0.3">
      <c r="A35" t="s">
        <v>107</v>
      </c>
      <c r="B35">
        <v>465</v>
      </c>
      <c r="C35">
        <v>1216</v>
      </c>
      <c r="D35" t="s">
        <v>154</v>
      </c>
      <c r="E35" t="s">
        <v>106</v>
      </c>
      <c r="F35">
        <v>49.579249518487828</v>
      </c>
    </row>
    <row r="36" spans="1:11" x14ac:dyDescent="0.3">
      <c r="A36" t="s">
        <v>109</v>
      </c>
      <c r="B36">
        <v>341</v>
      </c>
      <c r="C36">
        <v>682</v>
      </c>
      <c r="D36" t="s">
        <v>154</v>
      </c>
      <c r="E36" t="s">
        <v>108</v>
      </c>
      <c r="F36">
        <v>82.217761582509382</v>
      </c>
      <c r="K36">
        <v>32628</v>
      </c>
    </row>
    <row r="37" spans="1:11" x14ac:dyDescent="0.3">
      <c r="A37" t="s">
        <v>111</v>
      </c>
      <c r="B37">
        <v>331</v>
      </c>
      <c r="C37">
        <v>662</v>
      </c>
      <c r="D37" t="s">
        <v>154</v>
      </c>
      <c r="E37" t="s">
        <v>110</v>
      </c>
      <c r="F37">
        <v>102.78561758112251</v>
      </c>
      <c r="K37">
        <v>46393</v>
      </c>
    </row>
    <row r="38" spans="1:11" x14ac:dyDescent="0.3">
      <c r="A38" t="s">
        <v>113</v>
      </c>
      <c r="B38">
        <v>105</v>
      </c>
      <c r="C38">
        <v>210</v>
      </c>
      <c r="D38" t="s">
        <v>154</v>
      </c>
      <c r="E38" t="s">
        <v>112</v>
      </c>
      <c r="F38">
        <v>40.038722475496577</v>
      </c>
      <c r="K38">
        <v>60001</v>
      </c>
    </row>
    <row r="39" spans="1:11" x14ac:dyDescent="0.3">
      <c r="A39" t="s">
        <v>115</v>
      </c>
      <c r="B39">
        <v>254</v>
      </c>
      <c r="C39">
        <v>463</v>
      </c>
      <c r="D39" t="s">
        <v>153</v>
      </c>
      <c r="E39" t="s">
        <v>114</v>
      </c>
      <c r="F39">
        <v>55.923019235080737</v>
      </c>
      <c r="K39">
        <v>5729</v>
      </c>
    </row>
    <row r="40" spans="1:11" x14ac:dyDescent="0.3">
      <c r="A40" t="s">
        <v>117</v>
      </c>
      <c r="B40">
        <v>130</v>
      </c>
      <c r="C40">
        <v>260</v>
      </c>
      <c r="D40" t="s">
        <v>153</v>
      </c>
      <c r="E40" t="s">
        <v>116</v>
      </c>
      <c r="F40">
        <v>70.471390531091487</v>
      </c>
      <c r="K40">
        <v>15703</v>
      </c>
    </row>
    <row r="41" spans="1:11" x14ac:dyDescent="0.3">
      <c r="A41" t="s">
        <v>119</v>
      </c>
      <c r="B41">
        <v>167</v>
      </c>
      <c r="C41">
        <v>289</v>
      </c>
      <c r="D41" t="s">
        <v>153</v>
      </c>
      <c r="E41" t="s">
        <v>118</v>
      </c>
      <c r="F41">
        <v>53.318066215634374</v>
      </c>
      <c r="K41">
        <v>15709</v>
      </c>
    </row>
    <row r="42" spans="1:11" x14ac:dyDescent="0.3">
      <c r="A42" t="s">
        <v>121</v>
      </c>
      <c r="B42">
        <v>158</v>
      </c>
      <c r="C42">
        <v>243</v>
      </c>
      <c r="D42" t="s">
        <v>153</v>
      </c>
      <c r="E42" t="s">
        <v>120</v>
      </c>
      <c r="F42">
        <v>48.450038792873443</v>
      </c>
    </row>
    <row r="43" spans="1:11" x14ac:dyDescent="0.3">
      <c r="A43" t="s">
        <v>123</v>
      </c>
      <c r="B43">
        <v>236</v>
      </c>
      <c r="C43">
        <v>398</v>
      </c>
      <c r="D43" t="s">
        <v>153</v>
      </c>
      <c r="E43" t="s">
        <v>122</v>
      </c>
      <c r="F43">
        <v>51.827221933938588</v>
      </c>
    </row>
    <row r="44" spans="1:11" x14ac:dyDescent="0.3">
      <c r="A44" t="s">
        <v>125</v>
      </c>
      <c r="B44">
        <v>138</v>
      </c>
      <c r="C44">
        <v>255</v>
      </c>
      <c r="D44" t="s">
        <v>152</v>
      </c>
      <c r="E44" t="s">
        <v>124</v>
      </c>
      <c r="F44">
        <v>83.47049695097806</v>
      </c>
      <c r="K44">
        <v>5304</v>
      </c>
    </row>
    <row r="45" spans="1:11" x14ac:dyDescent="0.3">
      <c r="A45" t="s">
        <v>127</v>
      </c>
      <c r="B45">
        <v>179</v>
      </c>
      <c r="C45">
        <v>358</v>
      </c>
      <c r="D45" t="s">
        <v>152</v>
      </c>
      <c r="E45" t="s">
        <v>126</v>
      </c>
      <c r="F45">
        <v>65.020080059223972</v>
      </c>
    </row>
    <row r="46" spans="1:11" x14ac:dyDescent="0.3">
      <c r="A46" t="s">
        <v>129</v>
      </c>
      <c r="B46">
        <v>169</v>
      </c>
      <c r="C46">
        <v>324</v>
      </c>
      <c r="D46" t="s">
        <v>152</v>
      </c>
      <c r="E46" t="s">
        <v>128</v>
      </c>
      <c r="F46">
        <v>68.653182929155747</v>
      </c>
    </row>
    <row r="47" spans="1:11" x14ac:dyDescent="0.3">
      <c r="A47" t="s">
        <v>131</v>
      </c>
      <c r="B47">
        <v>119</v>
      </c>
      <c r="C47">
        <v>236</v>
      </c>
      <c r="D47" t="s">
        <v>152</v>
      </c>
      <c r="E47" t="s">
        <v>130</v>
      </c>
      <c r="F47">
        <v>65.509285455632011</v>
      </c>
    </row>
    <row r="48" spans="1:11" x14ac:dyDescent="0.3">
      <c r="A48" t="s">
        <v>133</v>
      </c>
      <c r="B48">
        <v>157</v>
      </c>
      <c r="C48">
        <v>314</v>
      </c>
      <c r="D48" t="s">
        <v>152</v>
      </c>
      <c r="E48" t="s">
        <v>132</v>
      </c>
      <c r="F48">
        <v>48.48473114771501</v>
      </c>
    </row>
    <row r="49" spans="1:11" x14ac:dyDescent="0.3">
      <c r="A49" t="s">
        <v>135</v>
      </c>
      <c r="B49">
        <v>164</v>
      </c>
      <c r="C49">
        <v>298</v>
      </c>
      <c r="D49" t="s">
        <v>152</v>
      </c>
      <c r="E49" t="s">
        <v>134</v>
      </c>
      <c r="F49">
        <v>48.655773102281309</v>
      </c>
    </row>
    <row r="50" spans="1:11" x14ac:dyDescent="0.3">
      <c r="A50" t="s">
        <v>137</v>
      </c>
      <c r="B50">
        <v>94</v>
      </c>
      <c r="C50">
        <v>130</v>
      </c>
      <c r="D50" t="s">
        <v>152</v>
      </c>
      <c r="E50" t="s">
        <v>136</v>
      </c>
      <c r="F50">
        <v>44.480151398739167</v>
      </c>
    </row>
    <row r="51" spans="1:11" x14ac:dyDescent="0.3">
      <c r="A51" t="s">
        <v>139</v>
      </c>
      <c r="B51">
        <v>106</v>
      </c>
      <c r="C51">
        <v>359</v>
      </c>
      <c r="D51" t="s">
        <v>152</v>
      </c>
      <c r="E51" t="s">
        <v>138</v>
      </c>
      <c r="F51">
        <v>41.409330862800772</v>
      </c>
      <c r="K51">
        <v>15738</v>
      </c>
    </row>
    <row r="52" spans="1:11" x14ac:dyDescent="0.3">
      <c r="A52" t="s">
        <v>141</v>
      </c>
      <c r="B52">
        <v>131</v>
      </c>
      <c r="C52">
        <v>262</v>
      </c>
      <c r="D52" t="s">
        <v>152</v>
      </c>
      <c r="E52" t="s">
        <v>140</v>
      </c>
      <c r="F52">
        <v>41.343576175975755</v>
      </c>
      <c r="K52">
        <v>15740</v>
      </c>
    </row>
    <row r="53" spans="1:11" x14ac:dyDescent="0.3">
      <c r="A53" t="s">
        <v>143</v>
      </c>
      <c r="B53">
        <v>221</v>
      </c>
      <c r="C53">
        <v>442</v>
      </c>
      <c r="D53" t="s">
        <v>152</v>
      </c>
      <c r="E53" t="s">
        <v>142</v>
      </c>
      <c r="F53">
        <v>75.700017032457851</v>
      </c>
      <c r="K53">
        <v>20004</v>
      </c>
    </row>
    <row r="54" spans="1:11" x14ac:dyDescent="0.3">
      <c r="A54" t="s">
        <v>145</v>
      </c>
      <c r="B54">
        <v>25</v>
      </c>
      <c r="C54">
        <v>46</v>
      </c>
      <c r="D54" t="s">
        <v>152</v>
      </c>
      <c r="E54" t="s">
        <v>144</v>
      </c>
      <c r="F54">
        <v>175.73507777486338</v>
      </c>
      <c r="K54">
        <v>32621</v>
      </c>
    </row>
    <row r="55" spans="1:11" x14ac:dyDescent="0.3">
      <c r="A55" t="s">
        <v>147</v>
      </c>
      <c r="B55">
        <v>42</v>
      </c>
      <c r="C55">
        <v>159</v>
      </c>
      <c r="D55" t="s">
        <v>152</v>
      </c>
      <c r="E55" t="s">
        <v>146</v>
      </c>
      <c r="F55">
        <v>51.696583398386679</v>
      </c>
      <c r="K55" t="s">
        <v>146</v>
      </c>
    </row>
  </sheetData>
  <sheetProtection algorithmName="SHA-512" hashValue="kmZvSXKeftv5lMRWH9vhVQe3MUhNZmD8m1RiWVlBPYu6zRP9Uj7DL0ehIqx3elDbmdGxzUSCNi+tJNacDQwIrA==" saltValue="msFzEPxgJNnJ7nmNlaXIPQ==" spinCount="100000" sheet="1" objects="1" scenarios="1"/>
  <autoFilter ref="A1:F55" xr:uid="{00000000-0009-0000-0000-000005000000}"/>
  <pageMargins left="0.7" right="0.7" top="0.78740157499999996" bottom="0.78740157499999996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5</vt:i4>
      </vt:variant>
      <vt:variant>
        <vt:lpstr>Benannte Bereiche</vt:lpstr>
      </vt:variant>
      <vt:variant>
        <vt:i4>4</vt:i4>
      </vt:variant>
    </vt:vector>
  </HeadingPairs>
  <TitlesOfParts>
    <vt:vector size="9" baseType="lpstr">
      <vt:lpstr>Region Berlin</vt:lpstr>
      <vt:lpstr>H+HotelBerlinMitte</vt:lpstr>
      <vt:lpstr>HYPERIONHotelBerlin</vt:lpstr>
      <vt:lpstr>H2HotelBerlinAlexand</vt:lpstr>
      <vt:lpstr>H4HotelBerlinAlexand</vt:lpstr>
      <vt:lpstr>hotel_information</vt:lpstr>
      <vt:lpstr>hotel_name_list</vt:lpstr>
      <vt:lpstr>region_breakeven</vt:lpstr>
      <vt:lpstr>region_list</vt:lpstr>
    </vt:vector>
  </TitlesOfParts>
  <Company>Treff Hotel Verwaltungs AG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Fischer</dc:creator>
  <cp:lastModifiedBy>Schulze, Christian</cp:lastModifiedBy>
  <cp:lastPrinted>2019-09-16T14:23:38Z</cp:lastPrinted>
  <dcterms:created xsi:type="dcterms:W3CDTF">2013-04-17T09:46:08Z</dcterms:created>
  <dcterms:modified xsi:type="dcterms:W3CDTF">2021-11-26T12:38:38Z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V_QUERY_LIST_4F35BF76-6C0D-4D9B-82B2-816C12CF3733">
    <vt:lpwstr>empty_477D106A-C0D6-4607-AEBD-E2C9D60EA279</vt:lpwstr>
  </property>
  <property fmtid="{D5CDD505-2E9C-101B-9397-08002B2CF9AE}" pid="3" name="SV_HIDDEN_GRID_QUERY_LIST_4F35BF76-6C0D-4D9B-82B2-816C12CF3733">
    <vt:lpwstr>empty_477D106A-C0D6-4607-AEBD-E2C9D60EA279</vt:lpwstr>
  </property>
</Properties>
</file>